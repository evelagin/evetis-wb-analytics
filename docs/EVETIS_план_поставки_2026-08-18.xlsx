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тери 16.08" sheetId="1" state="visible" r:id="rId3"/>
    <sheet name="Поставка 18.08" sheetId="2" state="visible" r:id="rId4"/>
    <sheet name="Обоснование по SKU" sheetId="3" state="visible" r:id="rId5"/>
    <sheet name="География спроса" sheetId="4" state="visible" r:id="rId6"/>
    <sheet name="Заявка на компенсацию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<sst xmlns="http://schemas.openxmlformats.org/spreadsheetml/2006/main" count="550" uniqueCount="152">
  <si>
    <t xml:space="preserve">ПОТЕРИ EVETIS НА 16.08.2026</t>
  </si>
  <si>
    <t xml:space="preserve">Остатки — последний валидный снимок WB от 15.08.2026 (снимок 16.08 упал: WB обезличил warehouseId). Себестоимость — лист COST_HISTORY, is_current=TRUE.</t>
  </si>
  <si>
    <t xml:space="preserve">Цена и «к перечислению» — средние по фактическим продажам с 01.06.2026 (V_WB_SALES_RETURNS).</t>
  </si>
  <si>
    <t xml:space="preserve">Артикул</t>
  </si>
  <si>
    <t xml:space="preserve">Себестоимость, ₽</t>
  </si>
  <si>
    <t xml:space="preserve">СГОРЕЛО, ед</t>
  </si>
  <si>
    <t xml:space="preserve">Сумма, ₽</t>
  </si>
  <si>
    <t xml:space="preserve">КОЛЕДИНО (риск), ед</t>
  </si>
  <si>
    <t xml:space="preserve">Живые склады, ед</t>
  </si>
  <si>
    <t xml:space="preserve">Ср. цена, ₽</t>
  </si>
  <si>
    <t xml:space="preserve">К перечислению, ₽</t>
  </si>
  <si>
    <t xml:space="preserve">EVT-HC-HAND-300</t>
  </si>
  <si>
    <t xml:space="preserve">EVT-FC-ACNE-50</t>
  </si>
  <si>
    <t xml:space="preserve">EVT-EP-ENZYME-75</t>
  </si>
  <si>
    <t xml:space="preserve">EVT-FS-ACNE-30</t>
  </si>
  <si>
    <t xml:space="preserve">EVT-FT-ACNE-150</t>
  </si>
  <si>
    <t xml:space="preserve">EVT-FT-MOIST-150</t>
  </si>
  <si>
    <t xml:space="preserve">EVT-FS-MOIST-30</t>
  </si>
  <si>
    <t xml:space="preserve">EVT-SET-SER-CREAM-ACNE</t>
  </si>
  <si>
    <t xml:space="preserve">EVT-HC-AMBER-300</t>
  </si>
  <si>
    <t xml:space="preserve">EVT-HC-CHERRY-300</t>
  </si>
  <si>
    <t xml:space="preserve">EVT-SET-4PC-ACNE</t>
  </si>
  <si>
    <t xml:space="preserve">EVT-SET-HAND-CHERRY</t>
  </si>
  <si>
    <t xml:space="preserve">EVT-SET-CHERRY-AMBER</t>
  </si>
  <si>
    <t xml:space="preserve">EVT-SET-TON-SER-CREAM-ACNE</t>
  </si>
  <si>
    <t xml:space="preserve">EVT-SET-TON-CREAM-MOIST</t>
  </si>
  <si>
    <t xml:space="preserve">EVT-SET-HAND-AMBER</t>
  </si>
  <si>
    <t xml:space="preserve">EVT-SET-TON-CREAM-ACNE</t>
  </si>
  <si>
    <t xml:space="preserve">EVT-SET-MOIST-TONIC-SERUM</t>
  </si>
  <si>
    <t xml:space="preserve">EVT-SET-TON-SER-CREAM-MOIST</t>
  </si>
  <si>
    <t xml:space="preserve">EVT-SET-ACNE-TONIC-SERUM</t>
  </si>
  <si>
    <t xml:space="preserve">EVT-SET-SER-CREAM-MOIST</t>
  </si>
  <si>
    <t xml:space="preserve">EVT-FC-MOIST-50</t>
  </si>
  <si>
    <t xml:space="preserve">EVT-HC-BODY-300</t>
  </si>
  <si>
    <t xml:space="preserve">ИТОГО</t>
  </si>
  <si>
    <t xml:space="preserve">СВОДКА</t>
  </si>
  <si>
    <t xml:space="preserve">Блок</t>
  </si>
  <si>
    <t xml:space="preserve">Единиц</t>
  </si>
  <si>
    <t xml:space="preserve">По себестоимости, ₽</t>
  </si>
  <si>
    <t xml:space="preserve">Уже сгорело — 8 выбывших складов</t>
  </si>
  <si>
    <t xml:space="preserve">Коледино — под угрозой с 16.08</t>
  </si>
  <si>
    <t xml:space="preserve">Остальные живые склады</t>
  </si>
  <si>
    <t xml:space="preserve">ВЕСЬ остаток на WB</t>
  </si>
  <si>
    <t xml:space="preserve">ХУДШИЙ СЦЕНАРИЙ: сгоревшее + Коледино</t>
  </si>
  <si>
    <t xml:space="preserve">• Худший сценарий = 72,5% всего товара на WB в деньгах. Останется 1 305 ед на ~268 тыс ₽ — Казань, Екатеринбург, Владимир и мелочь.</t>
  </si>
  <si>
    <t xml:space="preserve">• На Коледино лежит ВЕСЬ остаток увлажняющего крема FC-MOIST-50 (55 ед). Следующая партия 5 000 ед — октябрь и позже, 725 000 ₽ по себестоимости.</t>
  </si>
  <si>
    <t xml:space="preserve">• Заявку на компенсацию по 2 327 ед подавать не дожидаясь ясности по Коледино — по нему пойдёт отдельная заявка. Разбивка «склад × артикул» — на листе «Заявка на компенсацию».</t>
  </si>
  <si>
    <t xml:space="preserve">• Недополученная маржа (к перечислению минус себестоимость, при гипотетическом выкупе 100%): сгоревшее ≈682 тыс ₽, Коледино ≈280 тыс ₽. Это верхняя граница, не факт.</t>
  </si>
  <si>
    <t xml:space="preserve">ПЛАН ПОСТАВКИ EVETIS — понедельник 18.08.2026</t>
  </si>
  <si>
    <t xml:space="preserve">Количества рассчитаны от спроса ДО ударов (04.06–16.07) на 60 дней покрытия, за вычетом живого остатка на WB.</t>
  </si>
  <si>
    <t xml:space="preserve">Жёлтые ячейки — заполнить фактическим наличием на фулфилменте. Итог поставки пересчитается сам.</t>
  </si>
  <si>
    <t xml:space="preserve">Артикул (internal_sku)</t>
  </si>
  <si>
    <t xml:space="preserve">Наименование</t>
  </si>
  <si>
    <t xml:space="preserve">nm_id WB</t>
  </si>
  <si>
    <t xml:space="preserve">Заказов/28 дн</t>
  </si>
  <si>
    <t xml:space="preserve">Живой остаток на WB</t>
  </si>
  <si>
    <t xml:space="preserve">Сгорело</t>
  </si>
  <si>
    <t xml:space="preserve">Новосибирск Толмачёвский</t>
  </si>
  <si>
    <t xml:space="preserve">Красный Бор (СЗФО)</t>
  </si>
  <si>
    <t xml:space="preserve">Юг + Кавказ (резерв)</t>
  </si>
  <si>
    <t xml:space="preserve">ИТОГО к отгрузке</t>
  </si>
  <si>
    <t xml:space="preserve">Есть на фулфилменте</t>
  </si>
  <si>
    <t xml:space="preserve">Можем отгрузить</t>
  </si>
  <si>
    <t xml:space="preserve">Комментарий</t>
  </si>
  <si>
    <t xml:space="preserve">Крем для рук, 300 мл</t>
  </si>
  <si>
    <t xml:space="preserve">Ядро спроса — 37,5% поставки</t>
  </si>
  <si>
    <t xml:space="preserve">Сыворотка acne, 30 мл</t>
  </si>
  <si>
    <t xml:space="preserve">Крем для лица acne, 50 мл</t>
  </si>
  <si>
    <t xml:space="preserve">Сыворотка увлажняющая, 30 мл</t>
  </si>
  <si>
    <t xml:space="preserve">Тоник acne, 150 мл</t>
  </si>
  <si>
    <t xml:space="preserve">Набор: сыворотка + крем acne</t>
  </si>
  <si>
    <t xml:space="preserve">Крем для рук «Вишня», 300 мл</t>
  </si>
  <si>
    <t xml:space="preserve">Набор 4 предмета acne</t>
  </si>
  <si>
    <t xml:space="preserve">Энзимная пудра, 75 мл</t>
  </si>
  <si>
    <t xml:space="preserve">Тоник увлажняющий, 150 мл</t>
  </si>
  <si>
    <t xml:space="preserve">Крем для рук «Янтарь», 300 мл</t>
  </si>
  <si>
    <t xml:space="preserve">Набор: тоник + крем acne</t>
  </si>
  <si>
    <t xml:space="preserve">Набор: тоник + сыворотка + крем acne</t>
  </si>
  <si>
    <t xml:space="preserve">Набор: «Вишня» + «Янтарь»</t>
  </si>
  <si>
    <t xml:space="preserve">Набор с кремом «Вишня»</t>
  </si>
  <si>
    <t xml:space="preserve">Набор: тоник + сыворотка увлажн.</t>
  </si>
  <si>
    <t xml:space="preserve">Замещает выбывающие увлажняющие наборы — объём поднят выше доли спроса</t>
  </si>
  <si>
    <t xml:space="preserve">(без internal_sku)</t>
  </si>
  <si>
    <t xml:space="preserve">Тоник, nm 1083392113</t>
  </si>
  <si>
    <t xml:space="preserve">Не везём в Новосибирск: &lt;5 заказов/28 дн, хранение там 220% базового тарифа</t>
  </si>
  <si>
    <t xml:space="preserve">Набор с кремом «Янтарь»</t>
  </si>
  <si>
    <t xml:space="preserve">Крем для лица увлажняющий, 50 мл</t>
  </si>
  <si>
    <t xml:space="preserve">🔴 ЗАБЛОКИРОВАН: нет крема увлажняющего, партия 5 000 ед. из Китая — октябрь+</t>
  </si>
  <si>
    <t xml:space="preserve">Набор: тоник + сыворотка + крем увлажн.</t>
  </si>
  <si>
    <t xml:space="preserve">Набор: тоник + крем увлажн.</t>
  </si>
  <si>
    <t xml:space="preserve">Набор: сыворотка + крем увлажн.</t>
  </si>
  <si>
    <t xml:space="preserve">Легенда</t>
  </si>
  <si>
    <t xml:space="preserve">Синие числа — расчёт по спросу. Жёлтая колонка K — ваш ввод: сколько этого SKU реально лежит на фулфилменте.</t>
  </si>
  <si>
    <t xml:space="preserve">Колонка L = MIN(потребность; наличие) — то, что реально уедет в понедельник.</t>
  </si>
  <si>
    <t xml:space="preserve">Новосибирск Толмачёвский принимает FBW с 01.08.2026, короба и штучные паллеты — с 04.08. Коэффициент склада 220% базовых тарифов на логистику и хранение (проверить в кабинете).</t>
  </si>
  <si>
    <t xml:space="preserve">Красный Бор — единственный склад СЗФО в списке FBW; горел 04.08, статус приёмки проверить утром в понедельник. Если закрыт — объём переносится в Новосибирск.</t>
  </si>
  <si>
    <t xml:space="preserve">Юг + Кавказ: складов FBW не осталось ни одного (Краснодар 22.07, Невинномысск 22.07, Волгоград 31.07). Держать на фулфилменте до открытия схемы через ПВЗ.</t>
  </si>
  <si>
    <t xml:space="preserve">ОБОСНОВАНИЕ ОБЪЁМОВ</t>
  </si>
  <si>
    <t xml:space="preserve">Цель — 60 дней покрытия. Темп заказов взят за 28 дней (19.07–15.08), живой остаток — снимок 15.08 по работающим складам.</t>
  </si>
  <si>
    <t xml:space="preserve">Заказов/день</t>
  </si>
  <si>
    <t xml:space="preserve">Живой остаток</t>
  </si>
  <si>
    <t xml:space="preserve">Покрытие, дней</t>
  </si>
  <si>
    <t xml:space="preserve">Цель на 60 дней</t>
  </si>
  <si>
    <t xml:space="preserve">Дефицит</t>
  </si>
  <si>
    <t xml:space="preserve">В поставку</t>
  </si>
  <si>
    <t xml:space="preserve">Статус</t>
  </si>
  <si>
    <t xml:space="preserve">ЗАБЛОКИРОВАН до партии из Китая</t>
  </si>
  <si>
    <t xml:space="preserve">СПРОС ПО ОКРУГАМ И ОБЕСПЕЧЕННОСТЬ</t>
  </si>
  <si>
    <t xml:space="preserve">База спроса — 04.06–16.07.2026 (до ударов). После 18.07 спрос искажён отсутствием товара, планировать по нему нельзя.</t>
  </si>
  <si>
    <t xml:space="preserve">Округ</t>
  </si>
  <si>
    <t xml:space="preserve">Заказов/день до 18.07</t>
  </si>
  <si>
    <t xml:space="preserve">Заказов/день сейчас</t>
  </si>
  <si>
    <t xml:space="preserve">Изменение</t>
  </si>
  <si>
    <t xml:space="preserve">Доля спроса</t>
  </si>
  <si>
    <t xml:space="preserve">Нужно на 60 дней</t>
  </si>
  <si>
    <t xml:space="preserve">Живого есть</t>
  </si>
  <si>
    <t xml:space="preserve">Баланс: + избыток / − дефицит</t>
  </si>
  <si>
    <t xml:space="preserve">Куда везти</t>
  </si>
  <si>
    <t xml:space="preserve">Центральный</t>
  </si>
  <si>
    <t xml:space="preserve">Не пополнять — избыток</t>
  </si>
  <si>
    <t xml:space="preserve">Южный</t>
  </si>
  <si>
    <t xml:space="preserve">Складов FBW нет — только схема через ПВЗ</t>
  </si>
  <si>
    <t xml:space="preserve">Приволжский</t>
  </si>
  <si>
    <t xml:space="preserve">Сибирский</t>
  </si>
  <si>
    <t xml:space="preserve">Северо-Западный</t>
  </si>
  <si>
    <t xml:space="preserve">Красный Бор — при открытой приёмке</t>
  </si>
  <si>
    <t xml:space="preserve">Уральский</t>
  </si>
  <si>
    <t xml:space="preserve">Северо-Кавказский</t>
  </si>
  <si>
    <t xml:space="preserve">Дальневосточный</t>
  </si>
  <si>
    <t xml:space="preserve">Новосибирск Толмачёвский (2 дня до ДВ)</t>
  </si>
  <si>
    <t xml:space="preserve">СГОРЕВШИЙ ОСТАТОК — РАЗБИВКА ДЛЯ ЗАЯВКИ</t>
  </si>
  <si>
    <t xml:space="preserve">Снимок остатков WB на 15.08.2026 по выбывшим складам. Себестоимость подставлена из листа COST_HISTORY (is_current=TRUE) на 16.08.2026.</t>
  </si>
  <si>
    <t xml:space="preserve">Склад</t>
  </si>
  <si>
    <t xml:space="preserve">Дата инцидента</t>
  </si>
  <si>
    <t xml:space="preserve">Закупочная цена, ₽</t>
  </si>
  <si>
    <t xml:space="preserve">Тула</t>
  </si>
  <si>
    <t xml:space="preserve">≈05.08</t>
  </si>
  <si>
    <t xml:space="preserve">Электросталь</t>
  </si>
  <si>
    <t xml:space="preserve">18.07</t>
  </si>
  <si>
    <t xml:space="preserve">Краснодар</t>
  </si>
  <si>
    <t xml:space="preserve">22.07</t>
  </si>
  <si>
    <t xml:space="preserve">Самара (Новосемейкино)</t>
  </si>
  <si>
    <t xml:space="preserve">02.08</t>
  </si>
  <si>
    <t xml:space="preserve">Сарапул</t>
  </si>
  <si>
    <t xml:space="preserve">30.07</t>
  </si>
  <si>
    <t xml:space="preserve">Волгоград</t>
  </si>
  <si>
    <t xml:space="preserve">31.07</t>
  </si>
  <si>
    <t xml:space="preserve">СПБ Шушары</t>
  </si>
  <si>
    <t xml:space="preserve">24.07</t>
  </si>
  <si>
    <t xml:space="preserve">Невинномысск</t>
  </si>
  <si>
    <t xml:space="preserve">Закупочная цена (жёлтая колонка) в системе не заведена — COGS отсутствует в BigQuery. Заполнить вручную или дождаться REF_COGS.</t>
  </si>
  <si>
    <t xml:space="preserve">Поставки в Волгоград (28.07), Сарапул (29.07) и Новосемейкино (02.08) — 496 ед. — приняты за 0–3 дня до инцидента, продаж по ним не было.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</si>
</sst>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0.00"/>
    <numFmt numFmtId="168" formatCode="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3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6</v>
      </c>
      <c r="G5" s="3" t="s">
        <v>8</v>
      </c>
      <c r="H5" s="3" t="s">
        <v>6</v>
      </c>
      <c r="I5" s="3" t="s">
        <v>9</v>
      </c>
      <c r="J5" s="3" t="s">
        <v>10</v>
      </c>
    </row>
    <row r="6" customFormat="false" ht="15" hidden="false" customHeight="false" outlineLevel="0" collapsed="false">
      <c r="A6" s="4" t="s">
        <v>11</v>
      </c>
      <c r="B6" s="5" t="n">
        <v>240</v>
      </c>
      <c r="C6" s="5" t="n">
        <v>351</v>
      </c>
      <c r="D6" s="6" t="n">
        <f aca="false">B6*C6</f>
        <v>84240</v>
      </c>
      <c r="E6" s="5" t="n">
        <v>332</v>
      </c>
      <c r="F6" s="6" t="n">
        <f aca="false">B6*E6</f>
        <v>79680</v>
      </c>
      <c r="G6" s="5" t="n">
        <v>285</v>
      </c>
      <c r="H6" s="6" t="n">
        <f aca="false">B6*G6</f>
        <v>68400</v>
      </c>
      <c r="I6" s="5" t="n">
        <v>287</v>
      </c>
      <c r="J6" s="5" t="n">
        <v>303</v>
      </c>
    </row>
    <row r="7" customFormat="false" ht="15" hidden="false" customHeight="false" outlineLevel="0" collapsed="false">
      <c r="A7" s="4" t="s">
        <v>12</v>
      </c>
      <c r="B7" s="5" t="n">
        <v>145</v>
      </c>
      <c r="C7" s="5" t="n">
        <v>528</v>
      </c>
      <c r="D7" s="6" t="n">
        <f aca="false">B7*C7</f>
        <v>76560</v>
      </c>
      <c r="E7" s="5" t="n">
        <v>385</v>
      </c>
      <c r="F7" s="6" t="n">
        <f aca="false">B7*E7</f>
        <v>55825</v>
      </c>
      <c r="G7" s="5" t="n">
        <v>310</v>
      </c>
      <c r="H7" s="6" t="n">
        <f aca="false">B7*G7</f>
        <v>44950</v>
      </c>
      <c r="I7" s="5" t="n">
        <v>477</v>
      </c>
      <c r="J7" s="5" t="n">
        <v>481</v>
      </c>
    </row>
    <row r="8" customFormat="false" ht="15" hidden="false" customHeight="false" outlineLevel="0" collapsed="false">
      <c r="A8" s="4" t="s">
        <v>13</v>
      </c>
      <c r="B8" s="5" t="n">
        <v>174</v>
      </c>
      <c r="C8" s="5" t="n">
        <v>302</v>
      </c>
      <c r="D8" s="6" t="n">
        <f aca="false">B8*C8</f>
        <v>52548</v>
      </c>
      <c r="E8" s="5" t="n">
        <v>53</v>
      </c>
      <c r="F8" s="6" t="n">
        <f aca="false">B8*E8</f>
        <v>9222</v>
      </c>
      <c r="G8" s="5" t="n">
        <v>119</v>
      </c>
      <c r="H8" s="6" t="n">
        <f aca="false">B8*G8</f>
        <v>20706</v>
      </c>
      <c r="I8" s="5" t="n">
        <v>505</v>
      </c>
      <c r="J8" s="5" t="n">
        <v>481</v>
      </c>
    </row>
    <row r="9" customFormat="false" ht="15" hidden="false" customHeight="false" outlineLevel="0" collapsed="false">
      <c r="A9" s="4" t="s">
        <v>14</v>
      </c>
      <c r="B9" s="5" t="n">
        <v>150</v>
      </c>
      <c r="C9" s="5" t="n">
        <v>203</v>
      </c>
      <c r="D9" s="6" t="n">
        <f aca="false">B9*C9</f>
        <v>30450</v>
      </c>
      <c r="E9" s="5" t="n">
        <v>190</v>
      </c>
      <c r="F9" s="6" t="n">
        <f aca="false">B9*E9</f>
        <v>28500</v>
      </c>
      <c r="G9" s="5" t="n">
        <v>231</v>
      </c>
      <c r="H9" s="6" t="n">
        <f aca="false">B9*G9</f>
        <v>34650</v>
      </c>
      <c r="I9" s="5" t="n">
        <v>440</v>
      </c>
      <c r="J9" s="5" t="n">
        <v>446</v>
      </c>
    </row>
    <row r="10" customFormat="false" ht="15" hidden="false" customHeight="false" outlineLevel="0" collapsed="false">
      <c r="A10" s="4" t="s">
        <v>15</v>
      </c>
      <c r="B10" s="5" t="n">
        <v>200</v>
      </c>
      <c r="C10" s="5" t="n">
        <v>203</v>
      </c>
      <c r="D10" s="6" t="n">
        <f aca="false">B10*C10</f>
        <v>40600</v>
      </c>
      <c r="E10" s="5" t="n">
        <v>26</v>
      </c>
      <c r="F10" s="6" t="n">
        <f aca="false">B10*E10</f>
        <v>5200</v>
      </c>
      <c r="G10" s="5" t="n">
        <v>71</v>
      </c>
      <c r="H10" s="6" t="n">
        <f aca="false">B10*G10</f>
        <v>14200</v>
      </c>
      <c r="I10" s="5" t="n">
        <v>443</v>
      </c>
      <c r="J10" s="5" t="n">
        <v>455</v>
      </c>
    </row>
    <row r="11" customFormat="false" ht="15" hidden="false" customHeight="false" outlineLevel="0" collapsed="false">
      <c r="A11" s="4" t="s">
        <v>16</v>
      </c>
      <c r="B11" s="5" t="n">
        <v>200</v>
      </c>
      <c r="C11" s="5" t="n">
        <v>182</v>
      </c>
      <c r="D11" s="6" t="n">
        <f aca="false">B11*C11</f>
        <v>36400</v>
      </c>
      <c r="E11" s="5" t="n">
        <v>22</v>
      </c>
      <c r="F11" s="6" t="n">
        <f aca="false">B11*E11</f>
        <v>4400</v>
      </c>
      <c r="G11" s="5" t="n">
        <v>75</v>
      </c>
      <c r="H11" s="6" t="n">
        <f aca="false">B11*G11</f>
        <v>15000</v>
      </c>
      <c r="I11" s="5" t="n">
        <v>421</v>
      </c>
      <c r="J11" s="5" t="n">
        <v>451</v>
      </c>
    </row>
    <row r="12" customFormat="false" ht="15" hidden="false" customHeight="false" outlineLevel="0" collapsed="false">
      <c r="A12" s="4" t="s">
        <v>17</v>
      </c>
      <c r="B12" s="5" t="n">
        <v>150</v>
      </c>
      <c r="C12" s="5" t="n">
        <v>129</v>
      </c>
      <c r="D12" s="6" t="n">
        <f aca="false">B12*C12</f>
        <v>19350</v>
      </c>
      <c r="E12" s="5" t="n">
        <v>0</v>
      </c>
      <c r="F12" s="6" t="n">
        <f aca="false">B12*E12</f>
        <v>0</v>
      </c>
      <c r="G12" s="5" t="n">
        <v>39</v>
      </c>
      <c r="H12" s="6" t="n">
        <f aca="false">B12*G12</f>
        <v>5850</v>
      </c>
      <c r="I12" s="5" t="n">
        <v>436</v>
      </c>
      <c r="J12" s="5" t="n">
        <v>472</v>
      </c>
    </row>
    <row r="13" customFormat="false" ht="15" hidden="false" customHeight="false" outlineLevel="0" collapsed="false">
      <c r="A13" s="4" t="s">
        <v>18</v>
      </c>
      <c r="B13" s="5" t="n">
        <v>320</v>
      </c>
      <c r="C13" s="5" t="n">
        <v>102</v>
      </c>
      <c r="D13" s="6" t="n">
        <f aca="false">B13*C13</f>
        <v>32640</v>
      </c>
      <c r="E13" s="5" t="n">
        <v>27</v>
      </c>
      <c r="F13" s="6" t="n">
        <f aca="false">B13*E13</f>
        <v>8640</v>
      </c>
      <c r="G13" s="5" t="n">
        <v>62</v>
      </c>
      <c r="H13" s="6" t="n">
        <f aca="false">B13*G13</f>
        <v>19840</v>
      </c>
      <c r="I13" s="5" t="n">
        <v>778</v>
      </c>
      <c r="J13" s="5" t="n">
        <v>781</v>
      </c>
    </row>
    <row r="14" customFormat="false" ht="15" hidden="false" customHeight="false" outlineLevel="0" collapsed="false">
      <c r="A14" s="4" t="s">
        <v>19</v>
      </c>
      <c r="B14" s="5" t="n">
        <v>190</v>
      </c>
      <c r="C14" s="5" t="n">
        <v>51</v>
      </c>
      <c r="D14" s="6" t="n">
        <f aca="false">B14*C14</f>
        <v>9690</v>
      </c>
      <c r="E14" s="5" t="n">
        <v>0</v>
      </c>
      <c r="F14" s="6" t="n">
        <f aca="false">B14*E14</f>
        <v>0</v>
      </c>
      <c r="G14" s="5" t="n">
        <v>10</v>
      </c>
      <c r="H14" s="6" t="n">
        <f aca="false">B14*G14</f>
        <v>1900</v>
      </c>
      <c r="I14" s="5" t="n">
        <v>477</v>
      </c>
      <c r="J14" s="5" t="n">
        <v>499</v>
      </c>
    </row>
    <row r="15" customFormat="false" ht="15" hidden="false" customHeight="false" outlineLevel="0" collapsed="false">
      <c r="A15" s="4" t="s">
        <v>20</v>
      </c>
      <c r="B15" s="5" t="n">
        <v>190</v>
      </c>
      <c r="C15" s="5" t="n">
        <v>49</v>
      </c>
      <c r="D15" s="6" t="n">
        <f aca="false">B15*C15</f>
        <v>9310</v>
      </c>
      <c r="E15" s="5" t="n">
        <v>0</v>
      </c>
      <c r="F15" s="6" t="n">
        <f aca="false">B15*E15</f>
        <v>0</v>
      </c>
      <c r="G15" s="5" t="n">
        <v>6</v>
      </c>
      <c r="H15" s="6" t="n">
        <f aca="false">B15*G15</f>
        <v>1140</v>
      </c>
      <c r="I15" s="5" t="n">
        <v>463</v>
      </c>
      <c r="J15" s="5" t="n">
        <v>475</v>
      </c>
    </row>
    <row r="16" customFormat="false" ht="15" hidden="false" customHeight="false" outlineLevel="0" collapsed="false">
      <c r="A16" s="4" t="s">
        <v>21</v>
      </c>
      <c r="B16" s="5" t="n">
        <v>675</v>
      </c>
      <c r="C16" s="5" t="n">
        <v>40</v>
      </c>
      <c r="D16" s="6" t="n">
        <f aca="false">B16*C16</f>
        <v>27000</v>
      </c>
      <c r="E16" s="5" t="n">
        <v>7</v>
      </c>
      <c r="F16" s="6" t="n">
        <f aca="false">B16*E16</f>
        <v>4725</v>
      </c>
      <c r="G16" s="5" t="n">
        <v>8</v>
      </c>
      <c r="H16" s="6" t="n">
        <f aca="false">B16*G16</f>
        <v>5400</v>
      </c>
      <c r="I16" s="5" t="n">
        <v>1504</v>
      </c>
      <c r="J16" s="5" t="n">
        <v>1572</v>
      </c>
    </row>
    <row r="17" customFormat="false" ht="15" hidden="false" customHeight="false" outlineLevel="0" collapsed="false">
      <c r="A17" s="4" t="s">
        <v>22</v>
      </c>
      <c r="B17" s="5" t="n">
        <v>450</v>
      </c>
      <c r="C17" s="5" t="n">
        <v>28</v>
      </c>
      <c r="D17" s="6" t="n">
        <f aca="false">B17*C17</f>
        <v>12600</v>
      </c>
      <c r="E17" s="5" t="n">
        <v>7</v>
      </c>
      <c r="F17" s="6" t="n">
        <f aca="false">B17*E17</f>
        <v>3150</v>
      </c>
      <c r="G17" s="5" t="n">
        <v>17</v>
      </c>
      <c r="H17" s="6" t="n">
        <f aca="false">B17*G17</f>
        <v>7650</v>
      </c>
      <c r="I17" s="5" t="n">
        <v>706</v>
      </c>
      <c r="J17" s="5" t="n">
        <v>728</v>
      </c>
    </row>
    <row r="18" customFormat="false" ht="15" hidden="false" customHeight="false" outlineLevel="0" collapsed="false">
      <c r="A18" s="4" t="s">
        <v>23</v>
      </c>
      <c r="B18" s="5" t="n">
        <v>400</v>
      </c>
      <c r="C18" s="5" t="n">
        <v>24</v>
      </c>
      <c r="D18" s="6" t="n">
        <f aca="false">B18*C18</f>
        <v>9600</v>
      </c>
      <c r="E18" s="5" t="n">
        <v>1</v>
      </c>
      <c r="F18" s="6" t="n">
        <f aca="false">B18*E18</f>
        <v>400</v>
      </c>
      <c r="G18" s="5" t="n">
        <v>15</v>
      </c>
      <c r="H18" s="6" t="n">
        <f aca="false">B18*G18</f>
        <v>6000</v>
      </c>
      <c r="I18" s="5" t="n">
        <v>784</v>
      </c>
      <c r="J18" s="5" t="n">
        <v>731</v>
      </c>
    </row>
    <row r="19" customFormat="false" ht="15" hidden="false" customHeight="false" outlineLevel="0" collapsed="false">
      <c r="A19" s="4" t="s">
        <v>24</v>
      </c>
      <c r="B19" s="5" t="n">
        <v>500</v>
      </c>
      <c r="C19" s="5" t="n">
        <v>24</v>
      </c>
      <c r="D19" s="6" t="n">
        <f aca="false">B19*C19</f>
        <v>12000</v>
      </c>
      <c r="E19" s="5" t="n">
        <v>1</v>
      </c>
      <c r="F19" s="6" t="n">
        <f aca="false">B19*E19</f>
        <v>500</v>
      </c>
      <c r="G19" s="5" t="n">
        <v>7</v>
      </c>
      <c r="H19" s="6" t="n">
        <f aca="false">B19*G19</f>
        <v>3500</v>
      </c>
      <c r="I19" s="5" t="n">
        <v>1111</v>
      </c>
      <c r="J19" s="5" t="n">
        <v>1129</v>
      </c>
    </row>
    <row r="20" customFormat="false" ht="15" hidden="false" customHeight="false" outlineLevel="0" collapsed="false">
      <c r="A20" s="4" t="s">
        <v>25</v>
      </c>
      <c r="B20" s="5" t="n">
        <v>350</v>
      </c>
      <c r="C20" s="5" t="n">
        <v>23</v>
      </c>
      <c r="D20" s="6" t="n">
        <f aca="false">B20*C20</f>
        <v>8050</v>
      </c>
      <c r="E20" s="5" t="n">
        <v>1</v>
      </c>
      <c r="F20" s="6" t="n">
        <f aca="false">B20*E20</f>
        <v>350</v>
      </c>
      <c r="G20" s="5" t="n">
        <v>8</v>
      </c>
      <c r="H20" s="6" t="n">
        <f aca="false">B20*G20</f>
        <v>2800</v>
      </c>
      <c r="I20" s="5" t="n">
        <v>827</v>
      </c>
      <c r="J20" s="5" t="n">
        <v>793</v>
      </c>
    </row>
    <row r="21" customFormat="false" ht="15" hidden="false" customHeight="false" outlineLevel="0" collapsed="false">
      <c r="A21" s="4" t="s">
        <v>26</v>
      </c>
      <c r="B21" s="5" t="n">
        <v>450</v>
      </c>
      <c r="C21" s="5" t="n">
        <v>23</v>
      </c>
      <c r="D21" s="6" t="n">
        <f aca="false">B21*C21</f>
        <v>10350</v>
      </c>
      <c r="E21" s="5" t="n">
        <v>1</v>
      </c>
      <c r="F21" s="6" t="n">
        <f aca="false">B21*E21</f>
        <v>450</v>
      </c>
      <c r="G21" s="5" t="n">
        <v>13</v>
      </c>
      <c r="H21" s="6" t="n">
        <f aca="false">B21*G21</f>
        <v>5850</v>
      </c>
      <c r="I21" s="5" t="n">
        <v>729</v>
      </c>
      <c r="J21" s="5" t="n">
        <v>770</v>
      </c>
    </row>
    <row r="22" customFormat="false" ht="15" hidden="false" customHeight="false" outlineLevel="0" collapsed="false">
      <c r="A22" s="4" t="s">
        <v>27</v>
      </c>
      <c r="B22" s="5" t="n">
        <v>350</v>
      </c>
      <c r="C22" s="5" t="n">
        <v>21</v>
      </c>
      <c r="D22" s="6" t="n">
        <f aca="false">B22*C22</f>
        <v>7350</v>
      </c>
      <c r="E22" s="5" t="n">
        <v>0</v>
      </c>
      <c r="F22" s="6" t="n">
        <f aca="false">B22*E22</f>
        <v>0</v>
      </c>
      <c r="G22" s="5" t="n">
        <v>12</v>
      </c>
      <c r="H22" s="6" t="n">
        <f aca="false">B22*G22</f>
        <v>4200</v>
      </c>
      <c r="I22" s="5" t="n">
        <v>795</v>
      </c>
      <c r="J22" s="5" t="n">
        <v>717</v>
      </c>
    </row>
    <row r="23" customFormat="false" ht="15" hidden="false" customHeight="false" outlineLevel="0" collapsed="false">
      <c r="A23" s="4" t="s">
        <v>28</v>
      </c>
      <c r="B23" s="5" t="n">
        <v>352</v>
      </c>
      <c r="C23" s="5" t="n">
        <v>14</v>
      </c>
      <c r="D23" s="6" t="n">
        <f aca="false">B23*C23</f>
        <v>4928</v>
      </c>
      <c r="E23" s="5" t="n">
        <v>1</v>
      </c>
      <c r="F23" s="6" t="n">
        <f aca="false">B23*E23</f>
        <v>352</v>
      </c>
      <c r="G23" s="5" t="n">
        <v>5</v>
      </c>
      <c r="H23" s="6" t="n">
        <f aca="false">B23*G23</f>
        <v>1760</v>
      </c>
      <c r="I23" s="5" t="n">
        <v>836</v>
      </c>
      <c r="J23" s="5" t="n">
        <v>780</v>
      </c>
    </row>
    <row r="24" customFormat="false" ht="15" hidden="false" customHeight="false" outlineLevel="0" collapsed="false">
      <c r="A24" s="4" t="s">
        <v>29</v>
      </c>
      <c r="B24" s="5" t="n">
        <v>500</v>
      </c>
      <c r="C24" s="5" t="n">
        <v>14</v>
      </c>
      <c r="D24" s="6" t="n">
        <f aca="false">B24*C24</f>
        <v>7000</v>
      </c>
      <c r="E24" s="5" t="n">
        <v>0</v>
      </c>
      <c r="F24" s="6" t="n">
        <f aca="false">B24*E24</f>
        <v>0</v>
      </c>
      <c r="G24" s="5" t="n">
        <v>1</v>
      </c>
      <c r="H24" s="6" t="n">
        <f aca="false">B24*G24</f>
        <v>500</v>
      </c>
      <c r="I24" s="5" t="n">
        <v>1153</v>
      </c>
      <c r="J24" s="5" t="n">
        <v>1210</v>
      </c>
    </row>
    <row r="25" customFormat="false" ht="15" hidden="false" customHeight="false" outlineLevel="0" collapsed="false">
      <c r="A25" s="4" t="s">
        <v>30</v>
      </c>
      <c r="B25" s="5" t="n">
        <v>352</v>
      </c>
      <c r="C25" s="5" t="n">
        <v>13</v>
      </c>
      <c r="D25" s="6" t="n">
        <f aca="false">B25*C25</f>
        <v>4576</v>
      </c>
      <c r="E25" s="5" t="n">
        <v>0</v>
      </c>
      <c r="F25" s="6" t="n">
        <f aca="false">B25*E25</f>
        <v>0</v>
      </c>
      <c r="G25" s="5" t="n">
        <v>3</v>
      </c>
      <c r="H25" s="6" t="n">
        <f aca="false">B25*G25</f>
        <v>1056</v>
      </c>
      <c r="I25" s="5" t="n">
        <v>843</v>
      </c>
      <c r="J25" s="5" t="n">
        <v>739</v>
      </c>
    </row>
    <row r="26" customFormat="false" ht="15" hidden="false" customHeight="false" outlineLevel="0" collapsed="false">
      <c r="A26" s="4" t="s">
        <v>31</v>
      </c>
      <c r="B26" s="5" t="n">
        <v>320</v>
      </c>
      <c r="C26" s="5" t="n">
        <v>2</v>
      </c>
      <c r="D26" s="6" t="n">
        <f aca="false">B26*C26</f>
        <v>640</v>
      </c>
      <c r="E26" s="5" t="n">
        <v>0</v>
      </c>
      <c r="F26" s="6" t="n">
        <f aca="false">B26*E26</f>
        <v>0</v>
      </c>
      <c r="G26" s="5" t="n">
        <v>8</v>
      </c>
      <c r="H26" s="6" t="n">
        <f aca="false">B26*G26</f>
        <v>2560</v>
      </c>
      <c r="I26" s="5" t="n">
        <v>806</v>
      </c>
      <c r="J26" s="5" t="n">
        <v>876</v>
      </c>
    </row>
    <row r="27" customFormat="false" ht="15" hidden="false" customHeight="false" outlineLevel="0" collapsed="false">
      <c r="A27" s="4" t="s">
        <v>32</v>
      </c>
      <c r="B27" s="5" t="n">
        <v>145</v>
      </c>
      <c r="C27" s="5" t="n">
        <v>1</v>
      </c>
      <c r="D27" s="6" t="n">
        <f aca="false">B27*C27</f>
        <v>145</v>
      </c>
      <c r="E27" s="5" t="n">
        <v>55</v>
      </c>
      <c r="F27" s="6" t="n">
        <f aca="false">B27*E27</f>
        <v>7975</v>
      </c>
      <c r="G27" s="5" t="n">
        <v>0</v>
      </c>
      <c r="H27" s="6" t="n">
        <f aca="false">B27*G27</f>
        <v>0</v>
      </c>
      <c r="I27" s="5" t="n">
        <v>520</v>
      </c>
      <c r="J27" s="5" t="n">
        <v>545</v>
      </c>
    </row>
    <row r="28" customFormat="false" ht="15" hidden="false" customHeight="false" outlineLevel="0" collapsed="false">
      <c r="A28" s="4" t="s">
        <v>33</v>
      </c>
      <c r="B28" s="5" t="n">
        <v>235</v>
      </c>
      <c r="C28" s="5" t="n">
        <v>0</v>
      </c>
      <c r="D28" s="6" t="n">
        <f aca="false">B28*C28</f>
        <v>0</v>
      </c>
      <c r="E28" s="5" t="n">
        <v>0</v>
      </c>
      <c r="F28" s="6" t="n">
        <f aca="false">B28*E28</f>
        <v>0</v>
      </c>
      <c r="G28" s="5" t="n">
        <v>0</v>
      </c>
      <c r="H28" s="6" t="n">
        <f aca="false">B28*G28</f>
        <v>0</v>
      </c>
      <c r="I28" s="5"/>
      <c r="J28" s="5"/>
    </row>
    <row r="29" customFormat="false" ht="15" hidden="false" customHeight="false" outlineLevel="0" collapsed="false">
      <c r="A29" s="7" t="s">
        <v>34</v>
      </c>
      <c r="C29" s="8" t="n">
        <f aca="false">SUM(C6:C28)</f>
        <v>2327</v>
      </c>
      <c r="D29" s="9" t="n">
        <f aca="false">SUM(D6:D28)</f>
        <v>496027</v>
      </c>
      <c r="E29" s="8" t="n">
        <f aca="false">SUM(E6:E28)</f>
        <v>1109</v>
      </c>
      <c r="F29" s="9" t="n">
        <f aca="false">SUM(F6:F28)</f>
        <v>209369</v>
      </c>
      <c r="G29" s="8" t="n">
        <f aca="false">SUM(G6:G28)</f>
        <v>1305</v>
      </c>
      <c r="H29" s="9" t="n">
        <f aca="false">SUM(H6:H28)</f>
        <v>267912</v>
      </c>
    </row>
    <row r="31" customFormat="false" ht="15" hidden="false" customHeight="false" outlineLevel="0" collapsed="false">
      <c r="A31" s="10" t="s">
        <v>35</v>
      </c>
    </row>
    <row r="32" customFormat="false" ht="15" hidden="false" customHeight="false" outlineLevel="0" collapsed="false">
      <c r="A32" s="7" t="s">
        <v>36</v>
      </c>
      <c r="B32" s="7" t="s">
        <v>37</v>
      </c>
      <c r="C32" s="7" t="s">
        <v>38</v>
      </c>
    </row>
    <row r="33" customFormat="false" ht="15" hidden="false" customHeight="false" outlineLevel="0" collapsed="false">
      <c r="A33" s="11" t="s">
        <v>39</v>
      </c>
      <c r="B33" s="11" t="n">
        <f aca="false">C29</f>
        <v>2327</v>
      </c>
      <c r="C33" s="12" t="n">
        <f aca="false">D29</f>
        <v>496027</v>
      </c>
    </row>
    <row r="34" customFormat="false" ht="15" hidden="false" customHeight="false" outlineLevel="0" collapsed="false">
      <c r="A34" s="11" t="s">
        <v>40</v>
      </c>
      <c r="B34" s="11" t="n">
        <f aca="false">E29</f>
        <v>1109</v>
      </c>
      <c r="C34" s="12" t="n">
        <f aca="false">F29</f>
        <v>209369</v>
      </c>
    </row>
    <row r="35" customFormat="false" ht="15" hidden="false" customHeight="false" outlineLevel="0" collapsed="false">
      <c r="A35" s="13" t="s">
        <v>41</v>
      </c>
      <c r="B35" s="13" t="n">
        <f aca="false">G29</f>
        <v>1305</v>
      </c>
      <c r="C35" s="14" t="n">
        <f aca="false">H29</f>
        <v>267912</v>
      </c>
    </row>
    <row r="36" customFormat="false" ht="15" hidden="false" customHeight="false" outlineLevel="0" collapsed="false">
      <c r="A36" s="13" t="s">
        <v>42</v>
      </c>
      <c r="B36" s="13" t="n">
        <f aca="false">C29+E29+G29</f>
        <v>4741</v>
      </c>
      <c r="C36" s="14" t="n">
        <f aca="false">D29+F29+H29</f>
        <v>973308</v>
      </c>
    </row>
    <row r="37" customFormat="false" ht="15" hidden="false" customHeight="false" outlineLevel="0" collapsed="false">
      <c r="A37" s="15" t="s">
        <v>43</v>
      </c>
      <c r="B37" s="11" t="n">
        <f aca="false">C29+E29</f>
        <v>3436</v>
      </c>
      <c r="C37" s="12" t="n">
        <f aca="false">D29+F29</f>
        <v>705396</v>
      </c>
    </row>
    <row r="39" customFormat="false" ht="15" hidden="false" customHeight="false" outlineLevel="0" collapsed="false">
      <c r="A39" s="2" t="s">
        <v>44</v>
      </c>
    </row>
    <row r="40" customFormat="false" ht="15" hidden="false" customHeight="false" outlineLevel="0" collapsed="false">
      <c r="A40" s="2" t="s">
        <v>45</v>
      </c>
    </row>
    <row r="41" customFormat="false" ht="15" hidden="false" customHeight="false" outlineLevel="0" collapsed="false">
      <c r="A41" s="2" t="s">
        <v>46</v>
      </c>
    </row>
    <row r="42" customFormat="false" ht="15" hidden="false" customHeight="false" outlineLevel="0" collapsed="false">
      <c r="A42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6" width="30"/>
    <col collapsed="false" customWidth="true" hidden="false" outlineLevel="0" max="2" min="2" style="16" width="34"/>
    <col collapsed="false" customWidth="true" hidden="false" outlineLevel="0" max="3" min="3" style="16" width="13"/>
    <col collapsed="false" customWidth="true" hidden="false" outlineLevel="0" max="5" min="4" style="16" width="12"/>
    <col collapsed="false" customWidth="true" hidden="false" outlineLevel="0" max="6" min="6" style="16" width="10"/>
    <col collapsed="false" customWidth="true" hidden="false" outlineLevel="0" max="9" min="7" style="16" width="14"/>
    <col collapsed="false" customWidth="true" hidden="false" outlineLevel="0" max="10" min="10" style="16" width="12"/>
    <col collapsed="false" customWidth="true" hidden="false" outlineLevel="0" max="12" min="11" style="16" width="13"/>
    <col collapsed="false" customWidth="true" hidden="false" outlineLevel="0" max="13" min="13" style="16" width="46"/>
  </cols>
  <sheetData>
    <row r="1" customFormat="false" ht="17.25" hidden="false" customHeight="true" outlineLevel="0" collapsed="false">
      <c r="A1" s="17" t="s">
        <v>48</v>
      </c>
    </row>
    <row r="2" customFormat="false" ht="15" hidden="false" customHeight="true" outlineLevel="0" collapsed="false">
      <c r="A2" s="18" t="s">
        <v>49</v>
      </c>
    </row>
    <row r="3" customFormat="false" ht="15" hidden="false" customHeight="true" outlineLevel="0" collapsed="false">
      <c r="A3" s="18" t="s">
        <v>50</v>
      </c>
    </row>
    <row r="5" customFormat="false" ht="31.5" hidden="false" customHeight="true" outlineLevel="0" collapsed="false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62</v>
      </c>
      <c r="M5" s="3" t="s">
        <v>63</v>
      </c>
    </row>
    <row r="6" customFormat="false" ht="15" hidden="false" customHeight="true" outlineLevel="0" collapsed="false">
      <c r="A6" s="19" t="s">
        <v>11</v>
      </c>
      <c r="B6" s="20" t="s">
        <v>64</v>
      </c>
      <c r="C6" s="20" t="n">
        <v>252442517</v>
      </c>
      <c r="D6" s="20" t="n">
        <v>177</v>
      </c>
      <c r="E6" s="20" t="n">
        <v>617</v>
      </c>
      <c r="F6" s="20" t="n">
        <v>351</v>
      </c>
      <c r="G6" s="21" t="n">
        <v>86</v>
      </c>
      <c r="H6" s="21" t="n">
        <v>54</v>
      </c>
      <c r="I6" s="21" t="n">
        <v>114</v>
      </c>
      <c r="J6" s="19" t="n">
        <f aca="false">SUM(G6:I6)</f>
        <v>254</v>
      </c>
      <c r="K6" s="22"/>
      <c r="L6" s="20" t="str">
        <f aca="false">IF(K6="","",MIN(J6,K6))</f>
        <v/>
      </c>
      <c r="M6" s="23" t="s">
        <v>65</v>
      </c>
    </row>
    <row r="7" customFormat="false" ht="15" hidden="false" customHeight="true" outlineLevel="0" collapsed="false">
      <c r="A7" s="19" t="s">
        <v>14</v>
      </c>
      <c r="B7" s="20" t="s">
        <v>66</v>
      </c>
      <c r="C7" s="20" t="n">
        <v>305101361</v>
      </c>
      <c r="D7" s="20" t="n">
        <v>48</v>
      </c>
      <c r="E7" s="20" t="n">
        <v>421</v>
      </c>
      <c r="F7" s="20" t="n">
        <v>203</v>
      </c>
      <c r="G7" s="21" t="n">
        <v>23</v>
      </c>
      <c r="H7" s="21" t="n">
        <v>14</v>
      </c>
      <c r="I7" s="21" t="n">
        <v>31</v>
      </c>
      <c r="J7" s="19" t="n">
        <f aca="false">SUM(G7:I7)</f>
        <v>68</v>
      </c>
      <c r="K7" s="22"/>
      <c r="L7" s="20" t="str">
        <f aca="false">IF(K7="","",MIN(J7,K7))</f>
        <v/>
      </c>
      <c r="M7" s="23"/>
    </row>
    <row r="8" customFormat="false" ht="15" hidden="false" customHeight="true" outlineLevel="0" collapsed="false">
      <c r="A8" s="19" t="s">
        <v>12</v>
      </c>
      <c r="B8" s="20" t="s">
        <v>67</v>
      </c>
      <c r="C8" s="20" t="n">
        <v>438775617</v>
      </c>
      <c r="D8" s="20" t="n">
        <v>46</v>
      </c>
      <c r="E8" s="20" t="n">
        <v>695</v>
      </c>
      <c r="F8" s="20" t="n">
        <v>528</v>
      </c>
      <c r="G8" s="21" t="n">
        <v>22</v>
      </c>
      <c r="H8" s="21" t="n">
        <v>13</v>
      </c>
      <c r="I8" s="21" t="n">
        <v>30</v>
      </c>
      <c r="J8" s="19" t="n">
        <f aca="false">SUM(G8:I8)</f>
        <v>65</v>
      </c>
      <c r="K8" s="22"/>
      <c r="L8" s="20" t="str">
        <f aca="false">IF(K8="","",MIN(J8,K8))</f>
        <v/>
      </c>
      <c r="M8" s="23"/>
    </row>
    <row r="9" customFormat="false" ht="15" hidden="false" customHeight="true" outlineLevel="0" collapsed="false">
      <c r="A9" s="19" t="s">
        <v>17</v>
      </c>
      <c r="B9" s="20" t="s">
        <v>68</v>
      </c>
      <c r="C9" s="20" t="n">
        <v>305101272</v>
      </c>
      <c r="D9" s="20" t="n">
        <v>39</v>
      </c>
      <c r="E9" s="20" t="n">
        <v>39</v>
      </c>
      <c r="F9" s="20" t="n">
        <v>129</v>
      </c>
      <c r="G9" s="21" t="n">
        <v>18</v>
      </c>
      <c r="H9" s="21" t="n">
        <v>12</v>
      </c>
      <c r="I9" s="21" t="n">
        <v>25</v>
      </c>
      <c r="J9" s="19" t="n">
        <f aca="false">SUM(G9:I9)</f>
        <v>55</v>
      </c>
      <c r="K9" s="22"/>
      <c r="L9" s="20" t="str">
        <f aca="false">IF(K9="","",MIN(J9,K9))</f>
        <v/>
      </c>
      <c r="M9" s="23"/>
    </row>
    <row r="10" customFormat="false" ht="15" hidden="false" customHeight="true" outlineLevel="0" collapsed="false">
      <c r="A10" s="19" t="s">
        <v>15</v>
      </c>
      <c r="B10" s="20" t="s">
        <v>69</v>
      </c>
      <c r="C10" s="20" t="n">
        <v>535581675</v>
      </c>
      <c r="D10" s="20" t="n">
        <v>27</v>
      </c>
      <c r="E10" s="20" t="n">
        <v>97</v>
      </c>
      <c r="F10" s="20" t="n">
        <v>203</v>
      </c>
      <c r="G10" s="21" t="n">
        <v>13</v>
      </c>
      <c r="H10" s="21" t="n">
        <v>8</v>
      </c>
      <c r="I10" s="21" t="n">
        <v>17</v>
      </c>
      <c r="J10" s="19" t="n">
        <f aca="false">SUM(G10:I10)</f>
        <v>38</v>
      </c>
      <c r="K10" s="22"/>
      <c r="L10" s="20" t="str">
        <f aca="false">IF(K10="","",MIN(J10,K10))</f>
        <v/>
      </c>
      <c r="M10" s="23"/>
    </row>
    <row r="11" customFormat="false" ht="15" hidden="false" customHeight="true" outlineLevel="0" collapsed="false">
      <c r="A11" s="19" t="s">
        <v>18</v>
      </c>
      <c r="B11" s="20" t="s">
        <v>70</v>
      </c>
      <c r="C11" s="20" t="n">
        <v>567668635</v>
      </c>
      <c r="D11" s="20" t="n">
        <v>18</v>
      </c>
      <c r="E11" s="20" t="n">
        <v>89</v>
      </c>
      <c r="F11" s="20" t="n">
        <v>102</v>
      </c>
      <c r="G11" s="21" t="n">
        <v>8</v>
      </c>
      <c r="H11" s="21" t="n">
        <v>6</v>
      </c>
      <c r="I11" s="21" t="n">
        <v>11</v>
      </c>
      <c r="J11" s="19" t="n">
        <f aca="false">SUM(G11:I11)</f>
        <v>25</v>
      </c>
      <c r="K11" s="22"/>
      <c r="L11" s="20" t="str">
        <f aca="false">IF(K11="","",MIN(J11,K11))</f>
        <v/>
      </c>
      <c r="M11" s="23"/>
    </row>
    <row r="12" customFormat="false" ht="15" hidden="false" customHeight="true" outlineLevel="0" collapsed="false">
      <c r="A12" s="19" t="s">
        <v>20</v>
      </c>
      <c r="B12" s="20" t="s">
        <v>71</v>
      </c>
      <c r="C12" s="20" t="n">
        <v>593111986</v>
      </c>
      <c r="D12" s="20" t="n">
        <v>17</v>
      </c>
      <c r="E12" s="20" t="n">
        <v>6</v>
      </c>
      <c r="F12" s="20" t="n">
        <v>49</v>
      </c>
      <c r="G12" s="21" t="n">
        <v>8</v>
      </c>
      <c r="H12" s="21" t="n">
        <v>5</v>
      </c>
      <c r="I12" s="21" t="n">
        <v>11</v>
      </c>
      <c r="J12" s="19" t="n">
        <f aca="false">SUM(G12:I12)</f>
        <v>24</v>
      </c>
      <c r="K12" s="22"/>
      <c r="L12" s="20" t="str">
        <f aca="false">IF(K12="","",MIN(J12,K12))</f>
        <v/>
      </c>
      <c r="M12" s="23"/>
    </row>
    <row r="13" customFormat="false" ht="15" hidden="false" customHeight="true" outlineLevel="0" collapsed="false">
      <c r="A13" s="19" t="s">
        <v>21</v>
      </c>
      <c r="B13" s="20" t="s">
        <v>72</v>
      </c>
      <c r="C13" s="20" t="n">
        <v>868597351</v>
      </c>
      <c r="D13" s="20" t="n">
        <v>15</v>
      </c>
      <c r="E13" s="20" t="n">
        <v>15</v>
      </c>
      <c r="F13" s="20" t="n">
        <v>40</v>
      </c>
      <c r="G13" s="21" t="n">
        <v>7</v>
      </c>
      <c r="H13" s="21" t="n">
        <v>4</v>
      </c>
      <c r="I13" s="21" t="n">
        <v>10</v>
      </c>
      <c r="J13" s="19" t="n">
        <f aca="false">SUM(G13:I13)</f>
        <v>21</v>
      </c>
      <c r="K13" s="22"/>
      <c r="L13" s="20" t="str">
        <f aca="false">IF(K13="","",MIN(J13,K13))</f>
        <v/>
      </c>
      <c r="M13" s="23"/>
    </row>
    <row r="14" customFormat="false" ht="15" hidden="false" customHeight="true" outlineLevel="0" collapsed="false">
      <c r="A14" s="19" t="s">
        <v>13</v>
      </c>
      <c r="B14" s="20" t="s">
        <v>73</v>
      </c>
      <c r="C14" s="20" t="n">
        <v>535580776</v>
      </c>
      <c r="D14" s="20" t="n">
        <v>15</v>
      </c>
      <c r="E14" s="20" t="n">
        <v>172</v>
      </c>
      <c r="F14" s="20" t="n">
        <v>302</v>
      </c>
      <c r="G14" s="21" t="n">
        <v>7</v>
      </c>
      <c r="H14" s="21" t="n">
        <v>4</v>
      </c>
      <c r="I14" s="21" t="n">
        <v>10</v>
      </c>
      <c r="J14" s="19" t="n">
        <f aca="false">SUM(G14:I14)</f>
        <v>21</v>
      </c>
      <c r="K14" s="22"/>
      <c r="L14" s="20" t="str">
        <f aca="false">IF(K14="","",MIN(J14,K14))</f>
        <v/>
      </c>
      <c r="M14" s="23"/>
    </row>
    <row r="15" customFormat="false" ht="15" hidden="false" customHeight="true" outlineLevel="0" collapsed="false">
      <c r="A15" s="19" t="s">
        <v>16</v>
      </c>
      <c r="B15" s="20" t="s">
        <v>74</v>
      </c>
      <c r="C15" s="20" t="n">
        <v>535581674</v>
      </c>
      <c r="D15" s="20" t="n">
        <v>14</v>
      </c>
      <c r="E15" s="20" t="n">
        <v>97</v>
      </c>
      <c r="F15" s="20" t="n">
        <v>182</v>
      </c>
      <c r="G15" s="21" t="n">
        <v>7</v>
      </c>
      <c r="H15" s="21" t="n">
        <v>4</v>
      </c>
      <c r="I15" s="21" t="n">
        <v>9</v>
      </c>
      <c r="J15" s="19" t="n">
        <f aca="false">SUM(G15:I15)</f>
        <v>20</v>
      </c>
      <c r="K15" s="22"/>
      <c r="L15" s="20" t="str">
        <f aca="false">IF(K15="","",MIN(J15,K15))</f>
        <v/>
      </c>
      <c r="M15" s="23"/>
    </row>
    <row r="16" customFormat="false" ht="15" hidden="false" customHeight="true" outlineLevel="0" collapsed="false">
      <c r="A16" s="19" t="s">
        <v>19</v>
      </c>
      <c r="B16" s="20" t="s">
        <v>75</v>
      </c>
      <c r="C16" s="20" t="n">
        <v>593111985</v>
      </c>
      <c r="D16" s="20" t="n">
        <v>11</v>
      </c>
      <c r="E16" s="20" t="n">
        <v>10</v>
      </c>
      <c r="F16" s="20" t="n">
        <v>51</v>
      </c>
      <c r="G16" s="21" t="n">
        <v>5</v>
      </c>
      <c r="H16" s="21" t="n">
        <v>3</v>
      </c>
      <c r="I16" s="21" t="n">
        <v>7</v>
      </c>
      <c r="J16" s="19" t="n">
        <f aca="false">SUM(G16:I16)</f>
        <v>15</v>
      </c>
      <c r="K16" s="22"/>
      <c r="L16" s="20" t="str">
        <f aca="false">IF(K16="","",MIN(J16,K16))</f>
        <v/>
      </c>
      <c r="M16" s="23"/>
    </row>
    <row r="17" customFormat="false" ht="15" hidden="false" customHeight="true" outlineLevel="0" collapsed="false">
      <c r="A17" s="19" t="s">
        <v>27</v>
      </c>
      <c r="B17" s="20" t="s">
        <v>76</v>
      </c>
      <c r="C17" s="20" t="n">
        <v>952068582</v>
      </c>
      <c r="D17" s="20" t="n">
        <v>11</v>
      </c>
      <c r="E17" s="20" t="n">
        <v>12</v>
      </c>
      <c r="F17" s="20" t="n">
        <v>21</v>
      </c>
      <c r="G17" s="21" t="n">
        <v>5</v>
      </c>
      <c r="H17" s="21" t="n">
        <v>3</v>
      </c>
      <c r="I17" s="21" t="n">
        <v>7</v>
      </c>
      <c r="J17" s="19" t="n">
        <f aca="false">SUM(G17:I17)</f>
        <v>15</v>
      </c>
      <c r="K17" s="22"/>
      <c r="L17" s="20" t="str">
        <f aca="false">IF(K17="","",MIN(J17,K17))</f>
        <v/>
      </c>
      <c r="M17" s="23"/>
    </row>
    <row r="18" customFormat="false" ht="15" hidden="false" customHeight="true" outlineLevel="0" collapsed="false">
      <c r="A18" s="19" t="s">
        <v>24</v>
      </c>
      <c r="B18" s="20" t="s">
        <v>77</v>
      </c>
      <c r="C18" s="20" t="n">
        <v>910584041</v>
      </c>
      <c r="D18" s="20" t="n">
        <v>10</v>
      </c>
      <c r="E18" s="20" t="n">
        <v>8</v>
      </c>
      <c r="F18" s="20" t="n">
        <v>24</v>
      </c>
      <c r="G18" s="21" t="n">
        <v>5</v>
      </c>
      <c r="H18" s="21" t="n">
        <v>3</v>
      </c>
      <c r="I18" s="21" t="n">
        <v>6</v>
      </c>
      <c r="J18" s="19" t="n">
        <f aca="false">SUM(G18:I18)</f>
        <v>14</v>
      </c>
      <c r="K18" s="22"/>
      <c r="L18" s="20" t="str">
        <f aca="false">IF(K18="","",MIN(J18,K18))</f>
        <v/>
      </c>
      <c r="M18" s="23"/>
    </row>
    <row r="19" customFormat="false" ht="15" hidden="false" customHeight="true" outlineLevel="0" collapsed="false">
      <c r="A19" s="19" t="s">
        <v>23</v>
      </c>
      <c r="B19" s="20" t="s">
        <v>78</v>
      </c>
      <c r="C19" s="20" t="n">
        <v>930334397</v>
      </c>
      <c r="D19" s="20" t="n">
        <v>8</v>
      </c>
      <c r="E19" s="20" t="n">
        <v>16</v>
      </c>
      <c r="F19" s="20" t="n">
        <v>24</v>
      </c>
      <c r="G19" s="21" t="n">
        <v>4</v>
      </c>
      <c r="H19" s="21" t="n">
        <v>2</v>
      </c>
      <c r="I19" s="21" t="n">
        <v>5</v>
      </c>
      <c r="J19" s="19" t="n">
        <f aca="false">SUM(G19:I19)</f>
        <v>11</v>
      </c>
      <c r="K19" s="22"/>
      <c r="L19" s="20" t="str">
        <f aca="false">IF(K19="","",MIN(J19,K19))</f>
        <v/>
      </c>
      <c r="M19" s="23"/>
    </row>
    <row r="20" customFormat="false" ht="15" hidden="false" customHeight="true" outlineLevel="0" collapsed="false">
      <c r="A20" s="19" t="s">
        <v>22</v>
      </c>
      <c r="B20" s="20" t="s">
        <v>79</v>
      </c>
      <c r="C20" s="20" t="n">
        <v>930334395</v>
      </c>
      <c r="D20" s="20" t="n">
        <v>5</v>
      </c>
      <c r="E20" s="20" t="n">
        <v>24</v>
      </c>
      <c r="F20" s="20" t="n">
        <v>28</v>
      </c>
      <c r="G20" s="21" t="n">
        <v>2</v>
      </c>
      <c r="H20" s="21" t="n">
        <v>2</v>
      </c>
      <c r="I20" s="21" t="n">
        <v>3</v>
      </c>
      <c r="J20" s="19" t="n">
        <f aca="false">SUM(G20:I20)</f>
        <v>7</v>
      </c>
      <c r="K20" s="22"/>
      <c r="L20" s="20" t="str">
        <f aca="false">IF(K20="","",MIN(J20,K20))</f>
        <v/>
      </c>
      <c r="M20" s="23"/>
    </row>
    <row r="21" customFormat="false" ht="21.75" hidden="false" customHeight="true" outlineLevel="0" collapsed="false">
      <c r="A21" s="19" t="s">
        <v>28</v>
      </c>
      <c r="B21" s="20" t="s">
        <v>80</v>
      </c>
      <c r="C21" s="20" t="n">
        <v>910330849</v>
      </c>
      <c r="D21" s="20" t="n">
        <v>4</v>
      </c>
      <c r="E21" s="20" t="n">
        <v>6</v>
      </c>
      <c r="F21" s="20" t="n">
        <v>14</v>
      </c>
      <c r="G21" s="21" t="n">
        <v>7</v>
      </c>
      <c r="H21" s="21" t="n">
        <v>4</v>
      </c>
      <c r="I21" s="21" t="n">
        <v>9</v>
      </c>
      <c r="J21" s="19" t="n">
        <f aca="false">SUM(G21:I21)</f>
        <v>20</v>
      </c>
      <c r="K21" s="22"/>
      <c r="L21" s="20" t="str">
        <f aca="false">IF(K21="","",MIN(J21,K21))</f>
        <v/>
      </c>
      <c r="M21" s="23" t="s">
        <v>81</v>
      </c>
    </row>
    <row r="22" customFormat="false" ht="21.75" hidden="false" customHeight="true" outlineLevel="0" collapsed="false">
      <c r="A22" s="19" t="s">
        <v>82</v>
      </c>
      <c r="B22" s="20" t="s">
        <v>83</v>
      </c>
      <c r="C22" s="20" t="n">
        <v>1083392113</v>
      </c>
      <c r="D22" s="20" t="n">
        <v>4</v>
      </c>
      <c r="E22" s="20" t="n">
        <v>3</v>
      </c>
      <c r="F22" s="20" t="n">
        <v>13</v>
      </c>
      <c r="G22" s="21" t="n">
        <v>0</v>
      </c>
      <c r="H22" s="21" t="n">
        <v>1</v>
      </c>
      <c r="I22" s="21" t="n">
        <v>3</v>
      </c>
      <c r="J22" s="19" t="n">
        <f aca="false">SUM(G22:I22)</f>
        <v>4</v>
      </c>
      <c r="K22" s="22"/>
      <c r="L22" s="20" t="str">
        <f aca="false">IF(K22="","",MIN(J22,K22))</f>
        <v/>
      </c>
      <c r="M22" s="23" t="s">
        <v>84</v>
      </c>
    </row>
    <row r="23" customFormat="false" ht="21.75" hidden="false" customHeight="true" outlineLevel="0" collapsed="false">
      <c r="A23" s="19" t="s">
        <v>26</v>
      </c>
      <c r="B23" s="20" t="s">
        <v>85</v>
      </c>
      <c r="C23" s="20" t="n">
        <v>930334396</v>
      </c>
      <c r="D23" s="20" t="n">
        <v>3</v>
      </c>
      <c r="E23" s="20" t="n">
        <v>14</v>
      </c>
      <c r="F23" s="20" t="n">
        <v>23</v>
      </c>
      <c r="G23" s="21" t="n">
        <v>0</v>
      </c>
      <c r="H23" s="21" t="n">
        <v>1</v>
      </c>
      <c r="I23" s="21" t="n">
        <v>2</v>
      </c>
      <c r="J23" s="19" t="n">
        <f aca="false">SUM(G23:I23)</f>
        <v>3</v>
      </c>
      <c r="K23" s="22"/>
      <c r="L23" s="20" t="str">
        <f aca="false">IF(K23="","",MIN(J23,K23))</f>
        <v/>
      </c>
      <c r="M23" s="23" t="s">
        <v>84</v>
      </c>
    </row>
    <row r="24" customFormat="false" ht="23.25" hidden="false" customHeight="true" outlineLevel="0" collapsed="false">
      <c r="A24" s="24" t="s">
        <v>32</v>
      </c>
      <c r="B24" s="20" t="s">
        <v>86</v>
      </c>
      <c r="C24" s="20" t="n">
        <v>438775437</v>
      </c>
      <c r="D24" s="20" t="n">
        <v>42</v>
      </c>
      <c r="E24" s="20" t="n">
        <v>55</v>
      </c>
      <c r="F24" s="20" t="n">
        <v>1</v>
      </c>
      <c r="G24" s="25" t="n">
        <v>0</v>
      </c>
      <c r="H24" s="25" t="n">
        <v>0</v>
      </c>
      <c r="I24" s="25" t="n">
        <v>0</v>
      </c>
      <c r="J24" s="19" t="n">
        <f aca="false">SUM(G24:I24)</f>
        <v>0</v>
      </c>
      <c r="K24" s="22"/>
      <c r="L24" s="20" t="str">
        <f aca="false">IF(K24="","",MIN(J24,K24))</f>
        <v/>
      </c>
      <c r="M24" s="26" t="s">
        <v>87</v>
      </c>
    </row>
    <row r="25" customFormat="false" ht="23.25" hidden="false" customHeight="true" outlineLevel="0" collapsed="false">
      <c r="A25" s="24" t="s">
        <v>29</v>
      </c>
      <c r="B25" s="20" t="s">
        <v>88</v>
      </c>
      <c r="C25" s="20" t="n">
        <v>773170316</v>
      </c>
      <c r="D25" s="20" t="n">
        <v>15</v>
      </c>
      <c r="E25" s="20" t="n">
        <v>1</v>
      </c>
      <c r="F25" s="20" t="n">
        <v>14</v>
      </c>
      <c r="G25" s="25" t="n">
        <v>0</v>
      </c>
      <c r="H25" s="25" t="n">
        <v>0</v>
      </c>
      <c r="I25" s="25" t="n">
        <v>0</v>
      </c>
      <c r="J25" s="19" t="n">
        <f aca="false">SUM(G25:I25)</f>
        <v>0</v>
      </c>
      <c r="K25" s="22"/>
      <c r="L25" s="20" t="str">
        <f aca="false">IF(K25="","",MIN(J25,K25))</f>
        <v/>
      </c>
      <c r="M25" s="26" t="s">
        <v>87</v>
      </c>
    </row>
    <row r="26" customFormat="false" ht="23.25" hidden="false" customHeight="true" outlineLevel="0" collapsed="false">
      <c r="A26" s="24" t="s">
        <v>25</v>
      </c>
      <c r="B26" s="20" t="s">
        <v>89</v>
      </c>
      <c r="C26" s="20" t="n">
        <v>773170315</v>
      </c>
      <c r="D26" s="20" t="n">
        <v>7</v>
      </c>
      <c r="E26" s="20" t="n">
        <v>9</v>
      </c>
      <c r="F26" s="20" t="n">
        <v>23</v>
      </c>
      <c r="G26" s="25" t="n">
        <v>0</v>
      </c>
      <c r="H26" s="25" t="n">
        <v>0</v>
      </c>
      <c r="I26" s="25" t="n">
        <v>0</v>
      </c>
      <c r="J26" s="19" t="n">
        <f aca="false">SUM(G26:I26)</f>
        <v>0</v>
      </c>
      <c r="K26" s="22"/>
      <c r="L26" s="20" t="str">
        <f aca="false">IF(K26="","",MIN(J26,K26))</f>
        <v/>
      </c>
      <c r="M26" s="26" t="s">
        <v>87</v>
      </c>
    </row>
    <row r="27" customFormat="false" ht="23.25" hidden="false" customHeight="true" outlineLevel="0" collapsed="false">
      <c r="A27" s="24" t="s">
        <v>31</v>
      </c>
      <c r="B27" s="20" t="s">
        <v>90</v>
      </c>
      <c r="C27" s="20" t="n">
        <v>567668636</v>
      </c>
      <c r="D27" s="20" t="n">
        <v>7</v>
      </c>
      <c r="E27" s="20" t="n">
        <v>7</v>
      </c>
      <c r="F27" s="20" t="n">
        <v>3</v>
      </c>
      <c r="G27" s="25" t="n">
        <v>0</v>
      </c>
      <c r="H27" s="25" t="n">
        <v>0</v>
      </c>
      <c r="I27" s="25" t="n">
        <v>0</v>
      </c>
      <c r="J27" s="19" t="n">
        <f aca="false">SUM(G27:I27)</f>
        <v>0</v>
      </c>
      <c r="K27" s="22"/>
      <c r="L27" s="20" t="str">
        <f aca="false">IF(K27="","",MIN(J27,K27))</f>
        <v/>
      </c>
      <c r="M27" s="26" t="s">
        <v>87</v>
      </c>
    </row>
    <row r="28" customFormat="false" ht="15" hidden="false" customHeight="true" outlineLevel="0" collapsed="false">
      <c r="A28" s="27" t="s">
        <v>34</v>
      </c>
      <c r="G28" s="28" t="n">
        <f aca="false">SUM(G6:G27)</f>
        <v>227</v>
      </c>
      <c r="H28" s="28" t="n">
        <f aca="false">SUM(H6:H27)</f>
        <v>143</v>
      </c>
      <c r="I28" s="28" t="n">
        <f aca="false">SUM(I6:I27)</f>
        <v>310</v>
      </c>
      <c r="J28" s="28" t="n">
        <f aca="false">SUM(J6:J27)</f>
        <v>680</v>
      </c>
      <c r="K28" s="28" t="n">
        <f aca="false">SUM(K6:K27)</f>
        <v>0</v>
      </c>
      <c r="L28" s="28" t="n">
        <f aca="false">SUM(L6:L27)</f>
        <v>0</v>
      </c>
    </row>
    <row r="30" customFormat="false" ht="15" hidden="false" customHeight="true" outlineLevel="0" collapsed="false">
      <c r="A30" s="27" t="s">
        <v>91</v>
      </c>
    </row>
    <row r="31" customFormat="false" ht="15" hidden="false" customHeight="true" outlineLevel="0" collapsed="false">
      <c r="A31" s="18" t="s">
        <v>92</v>
      </c>
    </row>
    <row r="32" customFormat="false" ht="15" hidden="false" customHeight="true" outlineLevel="0" collapsed="false">
      <c r="A32" s="18" t="s">
        <v>93</v>
      </c>
    </row>
    <row r="33" customFormat="false" ht="15" hidden="false" customHeight="true" outlineLevel="0" collapsed="false">
      <c r="A33" s="18" t="s">
        <v>94</v>
      </c>
    </row>
    <row r="34" customFormat="false" ht="15" hidden="false" customHeight="true" outlineLevel="0" collapsed="false">
      <c r="A34" s="18" t="s">
        <v>95</v>
      </c>
    </row>
    <row r="35" customFormat="false" ht="15" hidden="false" customHeight="true" outlineLevel="0" collapsed="false">
      <c r="A35" s="18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6" width="32"/>
    <col collapsed="false" customWidth="true" hidden="false" outlineLevel="0" max="2" min="2" style="16" width="14"/>
    <col collapsed="false" customWidth="true" hidden="false" outlineLevel="0" max="3" min="3" style="16" width="13"/>
    <col collapsed="false" customWidth="true" hidden="false" outlineLevel="0" max="5" min="4" style="16" width="14"/>
    <col collapsed="false" customWidth="true" hidden="false" outlineLevel="0" max="6" min="6" style="16" width="15"/>
    <col collapsed="false" customWidth="true" hidden="false" outlineLevel="0" max="8" min="7" style="16" width="12"/>
    <col collapsed="false" customWidth="true" hidden="false" outlineLevel="0" max="9" min="9" style="16" width="34"/>
  </cols>
  <sheetData>
    <row r="1" customFormat="false" ht="17.25" hidden="false" customHeight="true" outlineLevel="0" collapsed="false">
      <c r="A1" s="17" t="s">
        <v>97</v>
      </c>
    </row>
    <row r="2" customFormat="false" ht="15" hidden="false" customHeight="true" outlineLevel="0" collapsed="false">
      <c r="A2" s="18" t="s">
        <v>98</v>
      </c>
    </row>
    <row r="4" customFormat="false" ht="31.5" hidden="false" customHeight="true" outlineLevel="0" collapsed="false">
      <c r="A4" s="3" t="s">
        <v>3</v>
      </c>
      <c r="B4" s="3" t="s">
        <v>54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3" t="s">
        <v>105</v>
      </c>
    </row>
    <row r="5" customFormat="false" ht="15" hidden="false" customHeight="true" outlineLevel="0" collapsed="false">
      <c r="A5" s="19" t="s">
        <v>11</v>
      </c>
      <c r="B5" s="20" t="n">
        <v>177</v>
      </c>
      <c r="C5" s="29" t="n">
        <f aca="false">B5/28</f>
        <v>6.32142857142857</v>
      </c>
      <c r="D5" s="20" t="n">
        <v>617</v>
      </c>
      <c r="E5" s="30" t="n">
        <f aca="false">IFERROR(D5/C5,"")</f>
        <v>97.6045197740113</v>
      </c>
      <c r="F5" s="20" t="n">
        <f aca="false">ROUND(C5*60,0)</f>
        <v>379</v>
      </c>
      <c r="G5" s="20" t="n">
        <f aca="false">MAX(0,F5-D5)</f>
        <v>0</v>
      </c>
      <c r="H5" s="19" t="n">
        <v>254</v>
      </c>
      <c r="I5" s="24"/>
    </row>
    <row r="6" customFormat="false" ht="15" hidden="false" customHeight="true" outlineLevel="0" collapsed="false">
      <c r="A6" s="19" t="s">
        <v>14</v>
      </c>
      <c r="B6" s="20" t="n">
        <v>48</v>
      </c>
      <c r="C6" s="29" t="n">
        <f aca="false">B6/28</f>
        <v>1.71428571428571</v>
      </c>
      <c r="D6" s="20" t="n">
        <v>421</v>
      </c>
      <c r="E6" s="30" t="n">
        <f aca="false">IFERROR(D6/C6,"")</f>
        <v>245.583333333333</v>
      </c>
      <c r="F6" s="20" t="n">
        <f aca="false">ROUND(C6*60,0)</f>
        <v>103</v>
      </c>
      <c r="G6" s="20" t="n">
        <f aca="false">MAX(0,F6-D6)</f>
        <v>0</v>
      </c>
      <c r="H6" s="19" t="n">
        <v>68</v>
      </c>
      <c r="I6" s="24"/>
    </row>
    <row r="7" customFormat="false" ht="15" hidden="false" customHeight="true" outlineLevel="0" collapsed="false">
      <c r="A7" s="19" t="s">
        <v>12</v>
      </c>
      <c r="B7" s="20" t="n">
        <v>46</v>
      </c>
      <c r="C7" s="29" t="n">
        <f aca="false">B7/28</f>
        <v>1.64285714285714</v>
      </c>
      <c r="D7" s="20" t="n">
        <v>695</v>
      </c>
      <c r="E7" s="30" t="n">
        <f aca="false">IFERROR(D7/C7,"")</f>
        <v>423.04347826087</v>
      </c>
      <c r="F7" s="20" t="n">
        <f aca="false">ROUND(C7*60,0)</f>
        <v>99</v>
      </c>
      <c r="G7" s="20" t="n">
        <f aca="false">MAX(0,F7-D7)</f>
        <v>0</v>
      </c>
      <c r="H7" s="19" t="n">
        <v>65</v>
      </c>
      <c r="I7" s="24"/>
    </row>
    <row r="8" customFormat="false" ht="15" hidden="false" customHeight="true" outlineLevel="0" collapsed="false">
      <c r="A8" s="19" t="s">
        <v>17</v>
      </c>
      <c r="B8" s="20" t="n">
        <v>39</v>
      </c>
      <c r="C8" s="29" t="n">
        <f aca="false">B8/28</f>
        <v>1.39285714285714</v>
      </c>
      <c r="D8" s="20" t="n">
        <v>39</v>
      </c>
      <c r="E8" s="30" t="n">
        <f aca="false">IFERROR(D8/C8,"")</f>
        <v>28</v>
      </c>
      <c r="F8" s="20" t="n">
        <f aca="false">ROUND(C8*60,0)</f>
        <v>84</v>
      </c>
      <c r="G8" s="20" t="n">
        <f aca="false">MAX(0,F8-D8)</f>
        <v>45</v>
      </c>
      <c r="H8" s="19" t="n">
        <v>55</v>
      </c>
      <c r="I8" s="24"/>
    </row>
    <row r="9" customFormat="false" ht="15" hidden="false" customHeight="true" outlineLevel="0" collapsed="false">
      <c r="A9" s="19" t="s">
        <v>15</v>
      </c>
      <c r="B9" s="20" t="n">
        <v>27</v>
      </c>
      <c r="C9" s="29" t="n">
        <f aca="false">B9/28</f>
        <v>0.964285714285714</v>
      </c>
      <c r="D9" s="20" t="n">
        <v>97</v>
      </c>
      <c r="E9" s="30" t="n">
        <f aca="false">IFERROR(D9/C9,"")</f>
        <v>100.592592592593</v>
      </c>
      <c r="F9" s="20" t="n">
        <f aca="false">ROUND(C9*60,0)</f>
        <v>58</v>
      </c>
      <c r="G9" s="20" t="n">
        <f aca="false">MAX(0,F9-D9)</f>
        <v>0</v>
      </c>
      <c r="H9" s="19" t="n">
        <v>38</v>
      </c>
      <c r="I9" s="24"/>
    </row>
    <row r="10" customFormat="false" ht="15" hidden="false" customHeight="true" outlineLevel="0" collapsed="false">
      <c r="A10" s="19" t="s">
        <v>18</v>
      </c>
      <c r="B10" s="20" t="n">
        <v>18</v>
      </c>
      <c r="C10" s="29" t="n">
        <f aca="false">B10/28</f>
        <v>0.642857142857143</v>
      </c>
      <c r="D10" s="20" t="n">
        <v>89</v>
      </c>
      <c r="E10" s="30" t="n">
        <f aca="false">IFERROR(D10/C10,"")</f>
        <v>138.444444444444</v>
      </c>
      <c r="F10" s="20" t="n">
        <f aca="false">ROUND(C10*60,0)</f>
        <v>39</v>
      </c>
      <c r="G10" s="20" t="n">
        <f aca="false">MAX(0,F10-D10)</f>
        <v>0</v>
      </c>
      <c r="H10" s="19" t="n">
        <v>25</v>
      </c>
      <c r="I10" s="24"/>
    </row>
    <row r="11" customFormat="false" ht="15" hidden="false" customHeight="true" outlineLevel="0" collapsed="false">
      <c r="A11" s="19" t="s">
        <v>20</v>
      </c>
      <c r="B11" s="20" t="n">
        <v>17</v>
      </c>
      <c r="C11" s="29" t="n">
        <f aca="false">B11/28</f>
        <v>0.607142857142857</v>
      </c>
      <c r="D11" s="20" t="n">
        <v>6</v>
      </c>
      <c r="E11" s="30" t="n">
        <f aca="false">IFERROR(D11/C11,"")</f>
        <v>9.88235294117647</v>
      </c>
      <c r="F11" s="20" t="n">
        <f aca="false">ROUND(C11*60,0)</f>
        <v>36</v>
      </c>
      <c r="G11" s="20" t="n">
        <f aca="false">MAX(0,F11-D11)</f>
        <v>30</v>
      </c>
      <c r="H11" s="19" t="n">
        <v>24</v>
      </c>
      <c r="I11" s="24"/>
    </row>
    <row r="12" customFormat="false" ht="15" hidden="false" customHeight="true" outlineLevel="0" collapsed="false">
      <c r="A12" s="19" t="s">
        <v>21</v>
      </c>
      <c r="B12" s="20" t="n">
        <v>15</v>
      </c>
      <c r="C12" s="29" t="n">
        <f aca="false">B12/28</f>
        <v>0.535714285714286</v>
      </c>
      <c r="D12" s="20" t="n">
        <v>15</v>
      </c>
      <c r="E12" s="30" t="n">
        <f aca="false">IFERROR(D12/C12,"")</f>
        <v>28</v>
      </c>
      <c r="F12" s="20" t="n">
        <f aca="false">ROUND(C12*60,0)</f>
        <v>32</v>
      </c>
      <c r="G12" s="20" t="n">
        <f aca="false">MAX(0,F12-D12)</f>
        <v>17</v>
      </c>
      <c r="H12" s="19" t="n">
        <v>21</v>
      </c>
      <c r="I12" s="24"/>
    </row>
    <row r="13" customFormat="false" ht="15" hidden="false" customHeight="true" outlineLevel="0" collapsed="false">
      <c r="A13" s="19" t="s">
        <v>13</v>
      </c>
      <c r="B13" s="20" t="n">
        <v>15</v>
      </c>
      <c r="C13" s="29" t="n">
        <f aca="false">B13/28</f>
        <v>0.535714285714286</v>
      </c>
      <c r="D13" s="20" t="n">
        <v>172</v>
      </c>
      <c r="E13" s="30" t="n">
        <f aca="false">IFERROR(D13/C13,"")</f>
        <v>321.066666666667</v>
      </c>
      <c r="F13" s="20" t="n">
        <f aca="false">ROUND(C13*60,0)</f>
        <v>32</v>
      </c>
      <c r="G13" s="20" t="n">
        <f aca="false">MAX(0,F13-D13)</f>
        <v>0</v>
      </c>
      <c r="H13" s="19" t="n">
        <v>21</v>
      </c>
      <c r="I13" s="24"/>
    </row>
    <row r="14" customFormat="false" ht="15" hidden="false" customHeight="true" outlineLevel="0" collapsed="false">
      <c r="A14" s="19" t="s">
        <v>16</v>
      </c>
      <c r="B14" s="20" t="n">
        <v>14</v>
      </c>
      <c r="C14" s="29" t="n">
        <f aca="false">B14/28</f>
        <v>0.5</v>
      </c>
      <c r="D14" s="20" t="n">
        <v>97</v>
      </c>
      <c r="E14" s="30" t="n">
        <f aca="false">IFERROR(D14/C14,"")</f>
        <v>194</v>
      </c>
      <c r="F14" s="20" t="n">
        <f aca="false">ROUND(C14*60,0)</f>
        <v>30</v>
      </c>
      <c r="G14" s="20" t="n">
        <f aca="false">MAX(0,F14-D14)</f>
        <v>0</v>
      </c>
      <c r="H14" s="19" t="n">
        <v>20</v>
      </c>
      <c r="I14" s="24"/>
    </row>
    <row r="15" customFormat="false" ht="15" hidden="false" customHeight="true" outlineLevel="0" collapsed="false">
      <c r="A15" s="19" t="s">
        <v>19</v>
      </c>
      <c r="B15" s="20" t="n">
        <v>11</v>
      </c>
      <c r="C15" s="29" t="n">
        <f aca="false">B15/28</f>
        <v>0.392857142857143</v>
      </c>
      <c r="D15" s="20" t="n">
        <v>10</v>
      </c>
      <c r="E15" s="30" t="n">
        <f aca="false">IFERROR(D15/C15,"")</f>
        <v>25.4545454545455</v>
      </c>
      <c r="F15" s="20" t="n">
        <f aca="false">ROUND(C15*60,0)</f>
        <v>24</v>
      </c>
      <c r="G15" s="20" t="n">
        <f aca="false">MAX(0,F15-D15)</f>
        <v>14</v>
      </c>
      <c r="H15" s="19" t="n">
        <v>15</v>
      </c>
      <c r="I15" s="24"/>
    </row>
    <row r="16" customFormat="false" ht="15" hidden="false" customHeight="true" outlineLevel="0" collapsed="false">
      <c r="A16" s="19" t="s">
        <v>27</v>
      </c>
      <c r="B16" s="20" t="n">
        <v>11</v>
      </c>
      <c r="C16" s="29" t="n">
        <f aca="false">B16/28</f>
        <v>0.392857142857143</v>
      </c>
      <c r="D16" s="20" t="n">
        <v>12</v>
      </c>
      <c r="E16" s="30" t="n">
        <f aca="false">IFERROR(D16/C16,"")</f>
        <v>30.5454545454545</v>
      </c>
      <c r="F16" s="20" t="n">
        <f aca="false">ROUND(C16*60,0)</f>
        <v>24</v>
      </c>
      <c r="G16" s="20" t="n">
        <f aca="false">MAX(0,F16-D16)</f>
        <v>12</v>
      </c>
      <c r="H16" s="19" t="n">
        <v>15</v>
      </c>
      <c r="I16" s="24"/>
    </row>
    <row r="17" customFormat="false" ht="15" hidden="false" customHeight="true" outlineLevel="0" collapsed="false">
      <c r="A17" s="19" t="s">
        <v>24</v>
      </c>
      <c r="B17" s="20" t="n">
        <v>10</v>
      </c>
      <c r="C17" s="29" t="n">
        <f aca="false">B17/28</f>
        <v>0.357142857142857</v>
      </c>
      <c r="D17" s="20" t="n">
        <v>8</v>
      </c>
      <c r="E17" s="30" t="n">
        <f aca="false">IFERROR(D17/C17,"")</f>
        <v>22.4</v>
      </c>
      <c r="F17" s="20" t="n">
        <f aca="false">ROUND(C17*60,0)</f>
        <v>21</v>
      </c>
      <c r="G17" s="20" t="n">
        <f aca="false">MAX(0,F17-D17)</f>
        <v>13</v>
      </c>
      <c r="H17" s="19" t="n">
        <v>14</v>
      </c>
      <c r="I17" s="24"/>
    </row>
    <row r="18" customFormat="false" ht="15" hidden="false" customHeight="true" outlineLevel="0" collapsed="false">
      <c r="A18" s="19" t="s">
        <v>23</v>
      </c>
      <c r="B18" s="20" t="n">
        <v>8</v>
      </c>
      <c r="C18" s="29" t="n">
        <f aca="false">B18/28</f>
        <v>0.285714285714286</v>
      </c>
      <c r="D18" s="20" t="n">
        <v>16</v>
      </c>
      <c r="E18" s="30" t="n">
        <f aca="false">IFERROR(D18/C18,"")</f>
        <v>56</v>
      </c>
      <c r="F18" s="20" t="n">
        <f aca="false">ROUND(C18*60,0)</f>
        <v>17</v>
      </c>
      <c r="G18" s="20" t="n">
        <f aca="false">MAX(0,F18-D18)</f>
        <v>1</v>
      </c>
      <c r="H18" s="19" t="n">
        <v>11</v>
      </c>
      <c r="I18" s="24"/>
    </row>
    <row r="19" customFormat="false" ht="15" hidden="false" customHeight="true" outlineLevel="0" collapsed="false">
      <c r="A19" s="19" t="s">
        <v>22</v>
      </c>
      <c r="B19" s="20" t="n">
        <v>5</v>
      </c>
      <c r="C19" s="29" t="n">
        <f aca="false">B19/28</f>
        <v>0.178571428571429</v>
      </c>
      <c r="D19" s="20" t="n">
        <v>24</v>
      </c>
      <c r="E19" s="30" t="n">
        <f aca="false">IFERROR(D19/C19,"")</f>
        <v>134.4</v>
      </c>
      <c r="F19" s="20" t="n">
        <f aca="false">ROUND(C19*60,0)</f>
        <v>11</v>
      </c>
      <c r="G19" s="20" t="n">
        <f aca="false">MAX(0,F19-D19)</f>
        <v>0</v>
      </c>
      <c r="H19" s="19" t="n">
        <v>7</v>
      </c>
      <c r="I19" s="24"/>
    </row>
    <row r="20" customFormat="false" ht="15" hidden="false" customHeight="true" outlineLevel="0" collapsed="false">
      <c r="A20" s="19" t="s">
        <v>28</v>
      </c>
      <c r="B20" s="20" t="n">
        <v>4</v>
      </c>
      <c r="C20" s="29" t="n">
        <f aca="false">B20/28</f>
        <v>0.142857142857143</v>
      </c>
      <c r="D20" s="20" t="n">
        <v>6</v>
      </c>
      <c r="E20" s="30" t="n">
        <f aca="false">IFERROR(D20/C20,"")</f>
        <v>42</v>
      </c>
      <c r="F20" s="20" t="n">
        <f aca="false">ROUND(C20*60,0)</f>
        <v>9</v>
      </c>
      <c r="G20" s="20" t="n">
        <f aca="false">MAX(0,F20-D20)</f>
        <v>3</v>
      </c>
      <c r="H20" s="19" t="n">
        <v>20</v>
      </c>
      <c r="I20" s="24"/>
    </row>
    <row r="21" customFormat="false" ht="15" hidden="false" customHeight="true" outlineLevel="0" collapsed="false">
      <c r="A21" s="19" t="s">
        <v>82</v>
      </c>
      <c r="B21" s="20" t="n">
        <v>4</v>
      </c>
      <c r="C21" s="29" t="n">
        <f aca="false">B21/28</f>
        <v>0.142857142857143</v>
      </c>
      <c r="D21" s="20" t="n">
        <v>3</v>
      </c>
      <c r="E21" s="30" t="n">
        <f aca="false">IFERROR(D21/C21,"")</f>
        <v>21</v>
      </c>
      <c r="F21" s="20" t="n">
        <f aca="false">ROUND(C21*60,0)</f>
        <v>9</v>
      </c>
      <c r="G21" s="20" t="n">
        <f aca="false">MAX(0,F21-D21)</f>
        <v>6</v>
      </c>
      <c r="H21" s="19" t="n">
        <v>4</v>
      </c>
      <c r="I21" s="24"/>
    </row>
    <row r="22" customFormat="false" ht="15" hidden="false" customHeight="true" outlineLevel="0" collapsed="false">
      <c r="A22" s="19" t="s">
        <v>26</v>
      </c>
      <c r="B22" s="20" t="n">
        <v>3</v>
      </c>
      <c r="C22" s="29" t="n">
        <f aca="false">B22/28</f>
        <v>0.107142857142857</v>
      </c>
      <c r="D22" s="20" t="n">
        <v>14</v>
      </c>
      <c r="E22" s="30" t="n">
        <f aca="false">IFERROR(D22/C22,"")</f>
        <v>130.666666666667</v>
      </c>
      <c r="F22" s="20" t="n">
        <f aca="false">ROUND(C22*60,0)</f>
        <v>6</v>
      </c>
      <c r="G22" s="20" t="n">
        <f aca="false">MAX(0,F22-D22)</f>
        <v>0</v>
      </c>
      <c r="H22" s="19" t="n">
        <v>3</v>
      </c>
      <c r="I22" s="24"/>
    </row>
    <row r="23" customFormat="false" ht="15" hidden="false" customHeight="true" outlineLevel="0" collapsed="false">
      <c r="A23" s="31" t="s">
        <v>32</v>
      </c>
      <c r="B23" s="32" t="n">
        <v>42</v>
      </c>
      <c r="C23" s="33" t="n">
        <f aca="false">B23/28</f>
        <v>1.5</v>
      </c>
      <c r="D23" s="32" t="n">
        <v>55</v>
      </c>
      <c r="E23" s="34" t="n">
        <f aca="false">IFERROR(D23/C23,"")</f>
        <v>36.6666666666667</v>
      </c>
      <c r="F23" s="32" t="n">
        <f aca="false">ROUND(C23*60,0)</f>
        <v>90</v>
      </c>
      <c r="G23" s="32" t="n">
        <f aca="false">MAX(0,F23-D23)</f>
        <v>35</v>
      </c>
      <c r="H23" s="31" t="n">
        <v>0</v>
      </c>
      <c r="I23" s="35" t="s">
        <v>106</v>
      </c>
    </row>
    <row r="24" customFormat="false" ht="15" hidden="false" customHeight="true" outlineLevel="0" collapsed="false">
      <c r="A24" s="31" t="s">
        <v>29</v>
      </c>
      <c r="B24" s="32" t="n">
        <v>15</v>
      </c>
      <c r="C24" s="33" t="n">
        <f aca="false">B24/28</f>
        <v>0.535714285714286</v>
      </c>
      <c r="D24" s="32" t="n">
        <v>1</v>
      </c>
      <c r="E24" s="34" t="n">
        <f aca="false">IFERROR(D24/C24,"")</f>
        <v>1.86666666666667</v>
      </c>
      <c r="F24" s="32" t="n">
        <f aca="false">ROUND(C24*60,0)</f>
        <v>32</v>
      </c>
      <c r="G24" s="32" t="n">
        <f aca="false">MAX(0,F24-D24)</f>
        <v>31</v>
      </c>
      <c r="H24" s="31" t="n">
        <v>0</v>
      </c>
      <c r="I24" s="35" t="s">
        <v>106</v>
      </c>
    </row>
    <row r="25" customFormat="false" ht="15" hidden="false" customHeight="true" outlineLevel="0" collapsed="false">
      <c r="A25" s="31" t="s">
        <v>25</v>
      </c>
      <c r="B25" s="32" t="n">
        <v>7</v>
      </c>
      <c r="C25" s="33" t="n">
        <f aca="false">B25/28</f>
        <v>0.25</v>
      </c>
      <c r="D25" s="32" t="n">
        <v>9</v>
      </c>
      <c r="E25" s="34" t="n">
        <f aca="false">IFERROR(D25/C25,"")</f>
        <v>36</v>
      </c>
      <c r="F25" s="32" t="n">
        <f aca="false">ROUND(C25*60,0)</f>
        <v>15</v>
      </c>
      <c r="G25" s="32" t="n">
        <f aca="false">MAX(0,F25-D25)</f>
        <v>6</v>
      </c>
      <c r="H25" s="31" t="n">
        <v>0</v>
      </c>
      <c r="I25" s="35" t="s">
        <v>106</v>
      </c>
    </row>
    <row r="26" customFormat="false" ht="15" hidden="false" customHeight="true" outlineLevel="0" collapsed="false">
      <c r="A26" s="31" t="s">
        <v>31</v>
      </c>
      <c r="B26" s="32" t="n">
        <v>7</v>
      </c>
      <c r="C26" s="33" t="n">
        <f aca="false">B26/28</f>
        <v>0.25</v>
      </c>
      <c r="D26" s="32" t="n">
        <v>7</v>
      </c>
      <c r="E26" s="34" t="n">
        <f aca="false">IFERROR(D26/C26,"")</f>
        <v>28</v>
      </c>
      <c r="F26" s="32" t="n">
        <f aca="false">ROUND(C26*60,0)</f>
        <v>15</v>
      </c>
      <c r="G26" s="32" t="n">
        <f aca="false">MAX(0,F26-D26)</f>
        <v>8</v>
      </c>
      <c r="H26" s="31" t="n">
        <v>0</v>
      </c>
      <c r="I26" s="35" t="s">
        <v>106</v>
      </c>
    </row>
    <row r="27" customFormat="false" ht="15" hidden="false" customHeight="true" outlineLevel="0" collapsed="false">
      <c r="A27" s="27" t="s">
        <v>34</v>
      </c>
      <c r="B27" s="28" t="n">
        <f aca="false">SUM(B5:B26)</f>
        <v>543</v>
      </c>
      <c r="D27" s="28" t="n">
        <f aca="false">SUM(D5:D26)</f>
        <v>2413</v>
      </c>
      <c r="F27" s="28" t="n">
        <f aca="false">SUM(F5:F26)</f>
        <v>1165</v>
      </c>
      <c r="G27" s="28" t="n">
        <f aca="false">SUM(G5:G26)</f>
        <v>221</v>
      </c>
      <c r="H27" s="28" t="n">
        <f aca="false">SUM(H5:H26)</f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6" width="22"/>
    <col collapsed="false" customWidth="true" hidden="false" outlineLevel="0" max="2" min="2" style="16" width="20"/>
    <col collapsed="false" customWidth="true" hidden="false" outlineLevel="0" max="3" min="3" style="16" width="18"/>
    <col collapsed="false" customWidth="true" hidden="false" outlineLevel="0" max="4" min="4" style="16" width="12"/>
    <col collapsed="false" customWidth="true" hidden="false" outlineLevel="0" max="5" min="5" style="16" width="13"/>
    <col collapsed="false" customWidth="true" hidden="false" outlineLevel="0" max="6" min="6" style="16" width="16"/>
    <col collapsed="false" customWidth="true" hidden="false" outlineLevel="0" max="7" min="7" style="16" width="13"/>
    <col collapsed="false" customWidth="true" hidden="false" outlineLevel="0" max="8" min="8" style="16" width="12"/>
    <col collapsed="false" customWidth="true" hidden="false" outlineLevel="0" max="9" min="9" style="16" width="42"/>
  </cols>
  <sheetData>
    <row r="1" customFormat="false" ht="17.25" hidden="false" customHeight="true" outlineLevel="0" collapsed="false">
      <c r="A1" s="17" t="s">
        <v>107</v>
      </c>
    </row>
    <row r="2" customFormat="false" ht="15" hidden="false" customHeight="true" outlineLevel="0" collapsed="false">
      <c r="A2" s="18" t="s">
        <v>108</v>
      </c>
    </row>
    <row r="4" customFormat="false" ht="31.5" hidden="false" customHeight="true" outlineLevel="0" collapsed="false">
      <c r="A4" s="3" t="s">
        <v>109</v>
      </c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  <c r="H4" s="3" t="s">
        <v>116</v>
      </c>
      <c r="I4" s="3" t="s">
        <v>117</v>
      </c>
    </row>
    <row r="5" customFormat="false" ht="15" hidden="false" customHeight="true" outlineLevel="0" collapsed="false">
      <c r="A5" s="19" t="s">
        <v>118</v>
      </c>
      <c r="B5" s="29" t="n">
        <v>8</v>
      </c>
      <c r="C5" s="29" t="n">
        <v>7.07</v>
      </c>
      <c r="D5" s="36" t="n">
        <f aca="false">C5/B5-1</f>
        <v>-0.11625</v>
      </c>
      <c r="E5" s="36" t="n">
        <v>0.328</v>
      </c>
      <c r="F5" s="20" t="n">
        <v>480</v>
      </c>
      <c r="G5" s="20" t="n">
        <v>1274</v>
      </c>
      <c r="H5" s="20" t="n">
        <f aca="false">G5-F5</f>
        <v>794</v>
      </c>
      <c r="I5" s="37" t="s">
        <v>119</v>
      </c>
    </row>
    <row r="6" customFormat="false" ht="15" hidden="false" customHeight="true" outlineLevel="0" collapsed="false">
      <c r="A6" s="31" t="s">
        <v>120</v>
      </c>
      <c r="B6" s="33" t="n">
        <v>3.72</v>
      </c>
      <c r="C6" s="33" t="n">
        <v>2.43</v>
      </c>
      <c r="D6" s="38" t="n">
        <f aca="false">C6/B6-1</f>
        <v>-0.346774193548387</v>
      </c>
      <c r="E6" s="38" t="n">
        <v>0.153</v>
      </c>
      <c r="F6" s="32" t="n">
        <v>223</v>
      </c>
      <c r="G6" s="32" t="n">
        <v>0</v>
      </c>
      <c r="H6" s="32" t="n">
        <f aca="false">G6-F6</f>
        <v>-223</v>
      </c>
      <c r="I6" s="37" t="s">
        <v>121</v>
      </c>
    </row>
    <row r="7" customFormat="false" ht="15" hidden="false" customHeight="true" outlineLevel="0" collapsed="false">
      <c r="A7" s="19" t="s">
        <v>122</v>
      </c>
      <c r="B7" s="29" t="n">
        <v>3.6</v>
      </c>
      <c r="C7" s="29" t="n">
        <v>2.89</v>
      </c>
      <c r="D7" s="36" t="n">
        <f aca="false">C7/B7-1</f>
        <v>-0.197222222222222</v>
      </c>
      <c r="E7" s="36" t="n">
        <v>0.148</v>
      </c>
      <c r="F7" s="20" t="n">
        <v>216</v>
      </c>
      <c r="G7" s="20" t="n">
        <v>854</v>
      </c>
      <c r="H7" s="20" t="n">
        <f aca="false">G7-F7</f>
        <v>638</v>
      </c>
      <c r="I7" s="37" t="s">
        <v>119</v>
      </c>
    </row>
    <row r="8" customFormat="false" ht="15" hidden="false" customHeight="true" outlineLevel="0" collapsed="false">
      <c r="A8" s="31" t="s">
        <v>123</v>
      </c>
      <c r="B8" s="33" t="n">
        <v>2.37</v>
      </c>
      <c r="C8" s="33" t="n">
        <v>1.64</v>
      </c>
      <c r="D8" s="38" t="n">
        <f aca="false">C8/B8-1</f>
        <v>-0.308016877637131</v>
      </c>
      <c r="E8" s="38" t="n">
        <v>0.097</v>
      </c>
      <c r="F8" s="32" t="n">
        <v>142</v>
      </c>
      <c r="G8" s="32" t="n">
        <v>1</v>
      </c>
      <c r="H8" s="32" t="n">
        <f aca="false">G8-F8</f>
        <v>-141</v>
      </c>
      <c r="I8" s="37" t="s">
        <v>57</v>
      </c>
    </row>
    <row r="9" customFormat="false" ht="15" hidden="false" customHeight="true" outlineLevel="0" collapsed="false">
      <c r="A9" s="31" t="s">
        <v>124</v>
      </c>
      <c r="B9" s="33" t="n">
        <v>2.33</v>
      </c>
      <c r="C9" s="33" t="n">
        <v>1.43</v>
      </c>
      <c r="D9" s="38" t="n">
        <f aca="false">C9/B9-1</f>
        <v>-0.386266094420601</v>
      </c>
      <c r="E9" s="38" t="n">
        <v>0.095</v>
      </c>
      <c r="F9" s="32" t="n">
        <v>140</v>
      </c>
      <c r="G9" s="32" t="n">
        <v>0</v>
      </c>
      <c r="H9" s="32" t="n">
        <f aca="false">G9-F9</f>
        <v>-140</v>
      </c>
      <c r="I9" s="37" t="s">
        <v>125</v>
      </c>
    </row>
    <row r="10" customFormat="false" ht="15" hidden="false" customHeight="true" outlineLevel="0" collapsed="false">
      <c r="A10" s="19" t="s">
        <v>126</v>
      </c>
      <c r="B10" s="29" t="n">
        <v>1.67</v>
      </c>
      <c r="C10" s="29" t="n">
        <v>1.25</v>
      </c>
      <c r="D10" s="36" t="n">
        <f aca="false">C10/B10-1</f>
        <v>-0.251497005988024</v>
      </c>
      <c r="E10" s="36" t="n">
        <v>0.069</v>
      </c>
      <c r="F10" s="20" t="n">
        <v>100</v>
      </c>
      <c r="G10" s="20" t="n">
        <v>284</v>
      </c>
      <c r="H10" s="20" t="n">
        <f aca="false">G10-F10</f>
        <v>184</v>
      </c>
      <c r="I10" s="37" t="s">
        <v>119</v>
      </c>
    </row>
    <row r="11" customFormat="false" ht="15" hidden="false" customHeight="true" outlineLevel="0" collapsed="false">
      <c r="A11" s="31" t="s">
        <v>127</v>
      </c>
      <c r="B11" s="33" t="n">
        <v>1.35</v>
      </c>
      <c r="C11" s="33" t="n">
        <v>1.11</v>
      </c>
      <c r="D11" s="38" t="n">
        <f aca="false">C11/B11-1</f>
        <v>-0.177777777777778</v>
      </c>
      <c r="E11" s="38" t="n">
        <v>0.055</v>
      </c>
      <c r="F11" s="32" t="n">
        <v>81</v>
      </c>
      <c r="G11" s="32" t="n">
        <v>0</v>
      </c>
      <c r="H11" s="32" t="n">
        <f aca="false">G11-F11</f>
        <v>-81</v>
      </c>
      <c r="I11" s="37" t="s">
        <v>121</v>
      </c>
    </row>
    <row r="12" customFormat="false" ht="15" hidden="false" customHeight="true" outlineLevel="0" collapsed="false">
      <c r="A12" s="31" t="s">
        <v>128</v>
      </c>
      <c r="B12" s="33" t="n">
        <v>1.33</v>
      </c>
      <c r="C12" s="33" t="n">
        <v>0.75</v>
      </c>
      <c r="D12" s="38" t="n">
        <f aca="false">C12/B12-1</f>
        <v>-0.43609022556391</v>
      </c>
      <c r="E12" s="38" t="n">
        <v>0.054</v>
      </c>
      <c r="F12" s="32" t="n">
        <v>80</v>
      </c>
      <c r="G12" s="32" t="n">
        <v>0</v>
      </c>
      <c r="H12" s="32" t="n">
        <f aca="false">G12-F12</f>
        <v>-80</v>
      </c>
      <c r="I12" s="37" t="s">
        <v>129</v>
      </c>
    </row>
    <row r="13" customFormat="false" ht="15" hidden="false" customHeight="true" outlineLevel="0" collapsed="false">
      <c r="A13" s="27" t="s">
        <v>34</v>
      </c>
      <c r="B13" s="39" t="n">
        <f aca="false">SUM(B5:B12)</f>
        <v>24.37</v>
      </c>
      <c r="C13" s="39" t="n">
        <f aca="false">SUM(C5:C12)</f>
        <v>18.57</v>
      </c>
      <c r="F13" s="28" t="n">
        <f aca="false">SUM(F5:F12)</f>
        <v>1462</v>
      </c>
      <c r="G13" s="28" t="n">
        <f aca="false">SUM(G5:G12)</f>
        <v>2413</v>
      </c>
      <c r="H13" s="28" t="n">
        <f aca="false">SUM(H5:H12)</f>
        <v>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6" width="26"/>
    <col collapsed="false" customWidth="true" hidden="false" outlineLevel="0" max="2" min="2" style="16" width="16"/>
    <col collapsed="false" customWidth="true" hidden="false" outlineLevel="0" max="3" min="3" style="16" width="32"/>
    <col collapsed="false" customWidth="true" hidden="false" outlineLevel="0" max="4" min="4" style="16" width="10"/>
    <col collapsed="false" customWidth="true" hidden="false" outlineLevel="0" max="5" min="5" style="16" width="20"/>
    <col collapsed="false" customWidth="true" hidden="false" outlineLevel="0" max="6" min="6" style="16" width="16"/>
  </cols>
  <sheetData>
    <row r="1" customFormat="false" ht="17.25" hidden="false" customHeight="true" outlineLevel="0" collapsed="false">
      <c r="A1" s="17" t="s">
        <v>130</v>
      </c>
    </row>
    <row r="2" customFormat="false" ht="15" hidden="false" customHeight="true" outlineLevel="0" collapsed="false">
      <c r="A2" s="18" t="s">
        <v>131</v>
      </c>
    </row>
    <row r="4" customFormat="false" ht="31.5" hidden="false" customHeight="true" outlineLevel="0" collapsed="false">
      <c r="A4" s="3" t="s">
        <v>132</v>
      </c>
      <c r="B4" s="3" t="s">
        <v>133</v>
      </c>
      <c r="C4" s="3" t="s">
        <v>3</v>
      </c>
      <c r="D4" s="3" t="s">
        <v>37</v>
      </c>
      <c r="E4" s="3" t="s">
        <v>134</v>
      </c>
      <c r="F4" s="3" t="s">
        <v>6</v>
      </c>
    </row>
    <row r="5" customFormat="false" ht="15" hidden="false" customHeight="true" outlineLevel="0" collapsed="false">
      <c r="A5" s="40" t="s">
        <v>135</v>
      </c>
      <c r="B5" s="40" t="s">
        <v>136</v>
      </c>
      <c r="C5" s="40" t="s">
        <v>11</v>
      </c>
      <c r="D5" s="40" t="n">
        <v>225</v>
      </c>
      <c r="E5" s="41" t="n">
        <v>240</v>
      </c>
      <c r="F5" s="42" t="n">
        <f aca="false">IF(E5="","",D5*E5)</f>
        <v>54000</v>
      </c>
    </row>
    <row r="6" customFormat="false" ht="15" hidden="false" customHeight="true" outlineLevel="0" collapsed="false">
      <c r="A6" s="40" t="s">
        <v>135</v>
      </c>
      <c r="B6" s="40" t="s">
        <v>136</v>
      </c>
      <c r="C6" s="40" t="s">
        <v>12</v>
      </c>
      <c r="D6" s="40" t="n">
        <v>166</v>
      </c>
      <c r="E6" s="41" t="n">
        <v>145</v>
      </c>
      <c r="F6" s="42" t="n">
        <f aca="false">IF(E6="","",D6*E6)</f>
        <v>24070</v>
      </c>
    </row>
    <row r="7" customFormat="false" ht="15" hidden="false" customHeight="true" outlineLevel="0" collapsed="false">
      <c r="A7" s="40" t="s">
        <v>135</v>
      </c>
      <c r="B7" s="40" t="s">
        <v>136</v>
      </c>
      <c r="C7" s="40" t="s">
        <v>13</v>
      </c>
      <c r="D7" s="40" t="n">
        <v>70</v>
      </c>
      <c r="E7" s="41" t="n">
        <v>174</v>
      </c>
      <c r="F7" s="42" t="n">
        <f aca="false">IF(E7="","",D7*E7)</f>
        <v>12180</v>
      </c>
    </row>
    <row r="8" customFormat="false" ht="15" hidden="false" customHeight="true" outlineLevel="0" collapsed="false">
      <c r="A8" s="40" t="s">
        <v>135</v>
      </c>
      <c r="B8" s="40" t="s">
        <v>136</v>
      </c>
      <c r="C8" s="40" t="s">
        <v>14</v>
      </c>
      <c r="D8" s="40" t="n">
        <v>51</v>
      </c>
      <c r="E8" s="41" t="n">
        <v>150</v>
      </c>
      <c r="F8" s="42" t="n">
        <f aca="false">IF(E8="","",D8*E8)</f>
        <v>7650</v>
      </c>
    </row>
    <row r="9" customFormat="false" ht="15" hidden="false" customHeight="true" outlineLevel="0" collapsed="false">
      <c r="A9" s="40" t="s">
        <v>135</v>
      </c>
      <c r="B9" s="40" t="s">
        <v>136</v>
      </c>
      <c r="C9" s="40" t="s">
        <v>15</v>
      </c>
      <c r="D9" s="40" t="n">
        <v>34</v>
      </c>
      <c r="E9" s="41" t="n">
        <v>200</v>
      </c>
      <c r="F9" s="42" t="n">
        <f aca="false">IF(E9="","",D9*E9)</f>
        <v>6800</v>
      </c>
    </row>
    <row r="10" customFormat="false" ht="15" hidden="false" customHeight="true" outlineLevel="0" collapsed="false">
      <c r="A10" s="40" t="s">
        <v>135</v>
      </c>
      <c r="B10" s="40" t="s">
        <v>136</v>
      </c>
      <c r="C10" s="40" t="s">
        <v>16</v>
      </c>
      <c r="D10" s="40" t="n">
        <v>31</v>
      </c>
      <c r="E10" s="41" t="n">
        <v>200</v>
      </c>
      <c r="F10" s="42" t="n">
        <f aca="false">IF(E10="","",D10*E10)</f>
        <v>6200</v>
      </c>
    </row>
    <row r="11" customFormat="false" ht="15" hidden="false" customHeight="true" outlineLevel="0" collapsed="false">
      <c r="A11" s="40" t="s">
        <v>135</v>
      </c>
      <c r="B11" s="40" t="s">
        <v>136</v>
      </c>
      <c r="C11" s="40" t="s">
        <v>18</v>
      </c>
      <c r="D11" s="40" t="n">
        <v>29</v>
      </c>
      <c r="E11" s="41" t="n">
        <v>320</v>
      </c>
      <c r="F11" s="42" t="n">
        <f aca="false">IF(E11="","",D11*E11)</f>
        <v>9280</v>
      </c>
    </row>
    <row r="12" customFormat="false" ht="15" hidden="false" customHeight="true" outlineLevel="0" collapsed="false">
      <c r="A12" s="40" t="s">
        <v>135</v>
      </c>
      <c r="B12" s="40" t="s">
        <v>136</v>
      </c>
      <c r="C12" s="40" t="s">
        <v>17</v>
      </c>
      <c r="D12" s="40" t="n">
        <v>24</v>
      </c>
      <c r="E12" s="41" t="n">
        <v>150</v>
      </c>
      <c r="F12" s="42" t="n">
        <f aca="false">IF(E12="","",D12*E12)</f>
        <v>3600</v>
      </c>
    </row>
    <row r="13" customFormat="false" ht="15" hidden="false" customHeight="true" outlineLevel="0" collapsed="false">
      <c r="A13" s="40" t="s">
        <v>135</v>
      </c>
      <c r="B13" s="40" t="s">
        <v>136</v>
      </c>
      <c r="C13" s="40" t="s">
        <v>25</v>
      </c>
      <c r="D13" s="40" t="n">
        <v>20</v>
      </c>
      <c r="E13" s="41" t="n">
        <v>350</v>
      </c>
      <c r="F13" s="42" t="n">
        <f aca="false">IF(E13="","",D13*E13)</f>
        <v>7000</v>
      </c>
    </row>
    <row r="14" customFormat="false" ht="15" hidden="false" customHeight="true" outlineLevel="0" collapsed="false">
      <c r="A14" s="40" t="s">
        <v>135</v>
      </c>
      <c r="B14" s="40" t="s">
        <v>136</v>
      </c>
      <c r="C14" s="40" t="s">
        <v>29</v>
      </c>
      <c r="D14" s="40" t="n">
        <v>10</v>
      </c>
      <c r="E14" s="41" t="n">
        <v>500</v>
      </c>
      <c r="F14" s="42" t="n">
        <f aca="false">IF(E14="","",D14*E14)</f>
        <v>5000</v>
      </c>
    </row>
    <row r="15" customFormat="false" ht="15" hidden="false" customHeight="true" outlineLevel="0" collapsed="false">
      <c r="A15" s="40" t="s">
        <v>135</v>
      </c>
      <c r="B15" s="40" t="s">
        <v>136</v>
      </c>
      <c r="C15" s="40" t="s">
        <v>21</v>
      </c>
      <c r="D15" s="40" t="n">
        <v>9</v>
      </c>
      <c r="E15" s="41" t="n">
        <v>675</v>
      </c>
      <c r="F15" s="42" t="n">
        <f aca="false">IF(E15="","",D15*E15)</f>
        <v>6075</v>
      </c>
    </row>
    <row r="16" customFormat="false" ht="15" hidden="false" customHeight="true" outlineLevel="0" collapsed="false">
      <c r="A16" s="40" t="s">
        <v>135</v>
      </c>
      <c r="B16" s="40" t="s">
        <v>136</v>
      </c>
      <c r="C16" s="40" t="s">
        <v>27</v>
      </c>
      <c r="D16" s="40" t="n">
        <v>8</v>
      </c>
      <c r="E16" s="41" t="n">
        <v>350</v>
      </c>
      <c r="F16" s="42" t="n">
        <f aca="false">IF(E16="","",D16*E16)</f>
        <v>2800</v>
      </c>
    </row>
    <row r="17" customFormat="false" ht="15" hidden="false" customHeight="true" outlineLevel="0" collapsed="false">
      <c r="A17" s="40" t="s">
        <v>135</v>
      </c>
      <c r="B17" s="40" t="s">
        <v>136</v>
      </c>
      <c r="C17" s="40" t="s">
        <v>20</v>
      </c>
      <c r="D17" s="40" t="n">
        <v>6</v>
      </c>
      <c r="E17" s="41" t="n">
        <v>190</v>
      </c>
      <c r="F17" s="42" t="n">
        <f aca="false">IF(E17="","",D17*E17)</f>
        <v>1140</v>
      </c>
    </row>
    <row r="18" customFormat="false" ht="15" hidden="false" customHeight="true" outlineLevel="0" collapsed="false">
      <c r="A18" s="40" t="s">
        <v>135</v>
      </c>
      <c r="B18" s="40" t="s">
        <v>136</v>
      </c>
      <c r="C18" s="40" t="s">
        <v>22</v>
      </c>
      <c r="D18" s="40" t="n">
        <v>4</v>
      </c>
      <c r="E18" s="41" t="n">
        <v>450</v>
      </c>
      <c r="F18" s="42" t="n">
        <f aca="false">IF(E18="","",D18*E18)</f>
        <v>1800</v>
      </c>
    </row>
    <row r="19" customFormat="false" ht="15" hidden="false" customHeight="true" outlineLevel="0" collapsed="false">
      <c r="A19" s="40" t="s">
        <v>135</v>
      </c>
      <c r="B19" s="40" t="s">
        <v>136</v>
      </c>
      <c r="C19" s="40" t="s">
        <v>26</v>
      </c>
      <c r="D19" s="40" t="n">
        <v>3</v>
      </c>
      <c r="E19" s="41" t="n">
        <v>450</v>
      </c>
      <c r="F19" s="42" t="n">
        <f aca="false">IF(E19="","",D19*E19)</f>
        <v>1350</v>
      </c>
    </row>
    <row r="20" customFormat="false" ht="15" hidden="false" customHeight="true" outlineLevel="0" collapsed="false">
      <c r="A20" s="40" t="s">
        <v>135</v>
      </c>
      <c r="B20" s="40" t="s">
        <v>136</v>
      </c>
      <c r="C20" s="40" t="s">
        <v>24</v>
      </c>
      <c r="D20" s="40" t="n">
        <v>3</v>
      </c>
      <c r="E20" s="41" t="n">
        <v>500</v>
      </c>
      <c r="F20" s="42" t="n">
        <f aca="false">IF(E20="","",D20*E20)</f>
        <v>1500</v>
      </c>
    </row>
    <row r="21" customFormat="false" ht="15" hidden="false" customHeight="true" outlineLevel="0" collapsed="false">
      <c r="A21" s="40" t="s">
        <v>135</v>
      </c>
      <c r="B21" s="40" t="s">
        <v>136</v>
      </c>
      <c r="C21" s="40" t="s">
        <v>23</v>
      </c>
      <c r="D21" s="40" t="n">
        <v>1</v>
      </c>
      <c r="E21" s="41" t="n">
        <v>400</v>
      </c>
      <c r="F21" s="42" t="n">
        <f aca="false">IF(E21="","",D21*E21)</f>
        <v>400</v>
      </c>
    </row>
    <row r="22" customFormat="false" ht="15" hidden="false" customHeight="true" outlineLevel="0" collapsed="false">
      <c r="A22" s="40" t="s">
        <v>135</v>
      </c>
      <c r="B22" s="40" t="s">
        <v>136</v>
      </c>
      <c r="C22" s="40" t="s">
        <v>19</v>
      </c>
      <c r="D22" s="40" t="n">
        <v>1</v>
      </c>
      <c r="E22" s="41" t="n">
        <v>190</v>
      </c>
      <c r="F22" s="42" t="n">
        <f aca="false">IF(E22="","",D22*E22)</f>
        <v>190</v>
      </c>
    </row>
    <row r="23" customFormat="false" ht="15" hidden="false" customHeight="true" outlineLevel="0" collapsed="false">
      <c r="A23" s="40" t="s">
        <v>137</v>
      </c>
      <c r="B23" s="40" t="s">
        <v>138</v>
      </c>
      <c r="C23" s="40" t="s">
        <v>12</v>
      </c>
      <c r="D23" s="40" t="n">
        <v>202</v>
      </c>
      <c r="E23" s="41" t="n">
        <v>145</v>
      </c>
      <c r="F23" s="42" t="n">
        <f aca="false">IF(E23="","",D23*E23)</f>
        <v>29290</v>
      </c>
    </row>
    <row r="24" customFormat="false" ht="15" hidden="false" customHeight="true" outlineLevel="0" collapsed="false">
      <c r="A24" s="40" t="s">
        <v>137</v>
      </c>
      <c r="B24" s="40" t="s">
        <v>138</v>
      </c>
      <c r="C24" s="40" t="s">
        <v>13</v>
      </c>
      <c r="D24" s="40" t="n">
        <v>136</v>
      </c>
      <c r="E24" s="41" t="n">
        <v>174</v>
      </c>
      <c r="F24" s="42" t="n">
        <f aca="false">IF(E24="","",D24*E24)</f>
        <v>23664</v>
      </c>
    </row>
    <row r="25" customFormat="false" ht="15" hidden="false" customHeight="true" outlineLevel="0" collapsed="false">
      <c r="A25" s="40" t="s">
        <v>137</v>
      </c>
      <c r="B25" s="40" t="s">
        <v>138</v>
      </c>
      <c r="C25" s="40" t="s">
        <v>15</v>
      </c>
      <c r="D25" s="40" t="n">
        <v>121</v>
      </c>
      <c r="E25" s="41" t="n">
        <v>200</v>
      </c>
      <c r="F25" s="42" t="n">
        <f aca="false">IF(E25="","",D25*E25)</f>
        <v>24200</v>
      </c>
    </row>
    <row r="26" customFormat="false" ht="15" hidden="false" customHeight="true" outlineLevel="0" collapsed="false">
      <c r="A26" s="40" t="s">
        <v>137</v>
      </c>
      <c r="B26" s="40" t="s">
        <v>138</v>
      </c>
      <c r="C26" s="40" t="s">
        <v>16</v>
      </c>
      <c r="D26" s="40" t="n">
        <v>96</v>
      </c>
      <c r="E26" s="41" t="n">
        <v>200</v>
      </c>
      <c r="F26" s="42" t="n">
        <f aca="false">IF(E26="","",D26*E26)</f>
        <v>19200</v>
      </c>
    </row>
    <row r="27" customFormat="false" ht="15" hidden="false" customHeight="true" outlineLevel="0" collapsed="false">
      <c r="A27" s="40" t="s">
        <v>137</v>
      </c>
      <c r="B27" s="40" t="s">
        <v>138</v>
      </c>
      <c r="C27" s="40" t="s">
        <v>14</v>
      </c>
      <c r="D27" s="40" t="n">
        <v>76</v>
      </c>
      <c r="E27" s="41" t="n">
        <v>150</v>
      </c>
      <c r="F27" s="42" t="n">
        <f aca="false">IF(E27="","",D27*E27)</f>
        <v>11400</v>
      </c>
    </row>
    <row r="28" customFormat="false" ht="15" hidden="false" customHeight="true" outlineLevel="0" collapsed="false">
      <c r="A28" s="40" t="s">
        <v>137</v>
      </c>
      <c r="B28" s="40" t="s">
        <v>138</v>
      </c>
      <c r="C28" s="40" t="s">
        <v>18</v>
      </c>
      <c r="D28" s="40" t="n">
        <v>20</v>
      </c>
      <c r="E28" s="41" t="n">
        <v>320</v>
      </c>
      <c r="F28" s="42" t="n">
        <f aca="false">IF(E28="","",D28*E28)</f>
        <v>6400</v>
      </c>
    </row>
    <row r="29" customFormat="false" ht="15" hidden="false" customHeight="true" outlineLevel="0" collapsed="false">
      <c r="A29" s="40" t="s">
        <v>137</v>
      </c>
      <c r="B29" s="40" t="s">
        <v>138</v>
      </c>
      <c r="C29" s="40" t="s">
        <v>17</v>
      </c>
      <c r="D29" s="40" t="n">
        <v>12</v>
      </c>
      <c r="E29" s="41" t="n">
        <v>150</v>
      </c>
      <c r="F29" s="42" t="n">
        <f aca="false">IF(E29="","",D29*E29)</f>
        <v>1800</v>
      </c>
    </row>
    <row r="30" customFormat="false" ht="15" hidden="false" customHeight="true" outlineLevel="0" collapsed="false">
      <c r="A30" s="40" t="s">
        <v>137</v>
      </c>
      <c r="B30" s="40" t="s">
        <v>138</v>
      </c>
      <c r="C30" s="40" t="s">
        <v>21</v>
      </c>
      <c r="D30" s="40" t="n">
        <v>8</v>
      </c>
      <c r="E30" s="41" t="n">
        <v>675</v>
      </c>
      <c r="F30" s="42" t="n">
        <f aca="false">IF(E30="","",D30*E30)</f>
        <v>5400</v>
      </c>
    </row>
    <row r="31" customFormat="false" ht="15" hidden="false" customHeight="true" outlineLevel="0" collapsed="false">
      <c r="A31" s="40" t="s">
        <v>137</v>
      </c>
      <c r="B31" s="40" t="s">
        <v>138</v>
      </c>
      <c r="C31" s="40" t="s">
        <v>27</v>
      </c>
      <c r="D31" s="40" t="n">
        <v>4</v>
      </c>
      <c r="E31" s="41" t="n">
        <v>350</v>
      </c>
      <c r="F31" s="42" t="n">
        <f aca="false">IF(E31="","",D31*E31)</f>
        <v>1400</v>
      </c>
    </row>
    <row r="32" customFormat="false" ht="15" hidden="false" customHeight="true" outlineLevel="0" collapsed="false">
      <c r="A32" s="40" t="s">
        <v>137</v>
      </c>
      <c r="B32" s="40" t="s">
        <v>138</v>
      </c>
      <c r="C32" s="40" t="s">
        <v>22</v>
      </c>
      <c r="D32" s="40" t="n">
        <v>4</v>
      </c>
      <c r="E32" s="41" t="n">
        <v>450</v>
      </c>
      <c r="F32" s="42" t="n">
        <f aca="false">IF(E32="","",D32*E32)</f>
        <v>1800</v>
      </c>
    </row>
    <row r="33" customFormat="false" ht="15" hidden="false" customHeight="true" outlineLevel="0" collapsed="false">
      <c r="A33" s="40" t="s">
        <v>137</v>
      </c>
      <c r="B33" s="40" t="s">
        <v>138</v>
      </c>
      <c r="C33" s="40" t="s">
        <v>24</v>
      </c>
      <c r="D33" s="40" t="n">
        <v>3</v>
      </c>
      <c r="E33" s="41" t="n">
        <v>500</v>
      </c>
      <c r="F33" s="42" t="n">
        <f aca="false">IF(E33="","",D33*E33)</f>
        <v>1500</v>
      </c>
    </row>
    <row r="34" customFormat="false" ht="15" hidden="false" customHeight="true" outlineLevel="0" collapsed="false">
      <c r="A34" s="40" t="s">
        <v>137</v>
      </c>
      <c r="B34" s="40" t="s">
        <v>138</v>
      </c>
      <c r="C34" s="40" t="s">
        <v>26</v>
      </c>
      <c r="D34" s="40" t="n">
        <v>2</v>
      </c>
      <c r="E34" s="41" t="n">
        <v>450</v>
      </c>
      <c r="F34" s="42" t="n">
        <f aca="false">IF(E34="","",D34*E34)</f>
        <v>900</v>
      </c>
    </row>
    <row r="35" customFormat="false" ht="15" hidden="false" customHeight="true" outlineLevel="0" collapsed="false">
      <c r="A35" s="40" t="s">
        <v>137</v>
      </c>
      <c r="B35" s="40" t="s">
        <v>138</v>
      </c>
      <c r="C35" s="40" t="s">
        <v>23</v>
      </c>
      <c r="D35" s="40" t="n">
        <v>1</v>
      </c>
      <c r="E35" s="41" t="n">
        <v>400</v>
      </c>
      <c r="F35" s="42" t="n">
        <f aca="false">IF(E35="","",D35*E35)</f>
        <v>400</v>
      </c>
    </row>
    <row r="36" customFormat="false" ht="15" hidden="false" customHeight="true" outlineLevel="0" collapsed="false">
      <c r="A36" s="40" t="s">
        <v>139</v>
      </c>
      <c r="B36" s="40" t="s">
        <v>140</v>
      </c>
      <c r="C36" s="40" t="s">
        <v>12</v>
      </c>
      <c r="D36" s="40" t="n">
        <v>99</v>
      </c>
      <c r="E36" s="41" t="n">
        <v>145</v>
      </c>
      <c r="F36" s="42" t="n">
        <f aca="false">IF(E36="","",D36*E36)</f>
        <v>14355</v>
      </c>
    </row>
    <row r="37" customFormat="false" ht="15" hidden="false" customHeight="true" outlineLevel="0" collapsed="false">
      <c r="A37" s="40" t="s">
        <v>139</v>
      </c>
      <c r="B37" s="40" t="s">
        <v>140</v>
      </c>
      <c r="C37" s="40" t="s">
        <v>13</v>
      </c>
      <c r="D37" s="40" t="n">
        <v>66</v>
      </c>
      <c r="E37" s="41" t="n">
        <v>174</v>
      </c>
      <c r="F37" s="42" t="n">
        <f aca="false">IF(E37="","",D37*E37)</f>
        <v>11484</v>
      </c>
    </row>
    <row r="38" customFormat="false" ht="15" hidden="false" customHeight="true" outlineLevel="0" collapsed="false">
      <c r="A38" s="40" t="s">
        <v>139</v>
      </c>
      <c r="B38" s="40" t="s">
        <v>140</v>
      </c>
      <c r="C38" s="40" t="s">
        <v>11</v>
      </c>
      <c r="D38" s="40" t="n">
        <v>66</v>
      </c>
      <c r="E38" s="41" t="n">
        <v>240</v>
      </c>
      <c r="F38" s="42" t="n">
        <f aca="false">IF(E38="","",D38*E38)</f>
        <v>15840</v>
      </c>
    </row>
    <row r="39" customFormat="false" ht="15" hidden="false" customHeight="true" outlineLevel="0" collapsed="false">
      <c r="A39" s="40" t="s">
        <v>139</v>
      </c>
      <c r="B39" s="40" t="s">
        <v>140</v>
      </c>
      <c r="C39" s="40" t="s">
        <v>18</v>
      </c>
      <c r="D39" s="40" t="n">
        <v>32</v>
      </c>
      <c r="E39" s="41" t="n">
        <v>320</v>
      </c>
      <c r="F39" s="42" t="n">
        <f aca="false">IF(E39="","",D39*E39)</f>
        <v>10240</v>
      </c>
    </row>
    <row r="40" customFormat="false" ht="15" hidden="false" customHeight="true" outlineLevel="0" collapsed="false">
      <c r="A40" s="40" t="s">
        <v>139</v>
      </c>
      <c r="B40" s="40" t="s">
        <v>140</v>
      </c>
      <c r="C40" s="40" t="s">
        <v>17</v>
      </c>
      <c r="D40" s="40" t="n">
        <v>30</v>
      </c>
      <c r="E40" s="41" t="n">
        <v>150</v>
      </c>
      <c r="F40" s="42" t="n">
        <f aca="false">IF(E40="","",D40*E40)</f>
        <v>4500</v>
      </c>
    </row>
    <row r="41" customFormat="false" ht="15" hidden="false" customHeight="true" outlineLevel="0" collapsed="false">
      <c r="A41" s="40" t="s">
        <v>139</v>
      </c>
      <c r="B41" s="40" t="s">
        <v>140</v>
      </c>
      <c r="C41" s="40" t="s">
        <v>16</v>
      </c>
      <c r="D41" s="40" t="n">
        <v>27</v>
      </c>
      <c r="E41" s="41" t="n">
        <v>200</v>
      </c>
      <c r="F41" s="42" t="n">
        <f aca="false">IF(E41="","",D41*E41)</f>
        <v>5400</v>
      </c>
    </row>
    <row r="42" customFormat="false" ht="15" hidden="false" customHeight="true" outlineLevel="0" collapsed="false">
      <c r="A42" s="40" t="s">
        <v>139</v>
      </c>
      <c r="B42" s="40" t="s">
        <v>140</v>
      </c>
      <c r="C42" s="40" t="s">
        <v>19</v>
      </c>
      <c r="D42" s="40" t="n">
        <v>24</v>
      </c>
      <c r="E42" s="41" t="n">
        <v>190</v>
      </c>
      <c r="F42" s="42" t="n">
        <f aca="false">IF(E42="","",D42*E42)</f>
        <v>4560</v>
      </c>
    </row>
    <row r="43" customFormat="false" ht="15" hidden="false" customHeight="true" outlineLevel="0" collapsed="false">
      <c r="A43" s="40" t="s">
        <v>139</v>
      </c>
      <c r="B43" s="40" t="s">
        <v>140</v>
      </c>
      <c r="C43" s="40" t="s">
        <v>15</v>
      </c>
      <c r="D43" s="40" t="n">
        <v>17</v>
      </c>
      <c r="E43" s="41" t="n">
        <v>200</v>
      </c>
      <c r="F43" s="42" t="n">
        <f aca="false">IF(E43="","",D43*E43)</f>
        <v>3400</v>
      </c>
    </row>
    <row r="44" customFormat="false" ht="15" hidden="false" customHeight="true" outlineLevel="0" collapsed="false">
      <c r="A44" s="40" t="s">
        <v>139</v>
      </c>
      <c r="B44" s="40" t="s">
        <v>140</v>
      </c>
      <c r="C44" s="40" t="s">
        <v>14</v>
      </c>
      <c r="D44" s="40" t="n">
        <v>15</v>
      </c>
      <c r="E44" s="41" t="n">
        <v>150</v>
      </c>
      <c r="F44" s="42" t="n">
        <f aca="false">IF(E44="","",D44*E44)</f>
        <v>2250</v>
      </c>
    </row>
    <row r="45" customFormat="false" ht="15" hidden="false" customHeight="true" outlineLevel="0" collapsed="false">
      <c r="A45" s="40" t="s">
        <v>139</v>
      </c>
      <c r="B45" s="40" t="s">
        <v>140</v>
      </c>
      <c r="C45" s="40" t="s">
        <v>20</v>
      </c>
      <c r="D45" s="40" t="n">
        <v>13</v>
      </c>
      <c r="E45" s="41" t="n">
        <v>190</v>
      </c>
      <c r="F45" s="42" t="n">
        <f aca="false">IF(E45="","",D45*E45)</f>
        <v>2470</v>
      </c>
    </row>
    <row r="46" customFormat="false" ht="15" hidden="false" customHeight="true" outlineLevel="0" collapsed="false">
      <c r="A46" s="40" t="s">
        <v>139</v>
      </c>
      <c r="B46" s="40" t="s">
        <v>140</v>
      </c>
      <c r="C46" s="40" t="s">
        <v>28</v>
      </c>
      <c r="D46" s="40" t="n">
        <v>5</v>
      </c>
      <c r="E46" s="41" t="n">
        <v>352</v>
      </c>
      <c r="F46" s="42" t="n">
        <f aca="false">IF(E46="","",D46*E46)</f>
        <v>1760</v>
      </c>
    </row>
    <row r="47" customFormat="false" ht="15" hidden="false" customHeight="true" outlineLevel="0" collapsed="false">
      <c r="A47" s="40" t="s">
        <v>139</v>
      </c>
      <c r="B47" s="40" t="s">
        <v>140</v>
      </c>
      <c r="C47" s="40" t="s">
        <v>21</v>
      </c>
      <c r="D47" s="40" t="n">
        <v>5</v>
      </c>
      <c r="E47" s="41" t="n">
        <v>675</v>
      </c>
      <c r="F47" s="42" t="n">
        <f aca="false">IF(E47="","",D47*E47)</f>
        <v>3375</v>
      </c>
    </row>
    <row r="48" customFormat="false" ht="15" hidden="false" customHeight="true" outlineLevel="0" collapsed="false">
      <c r="A48" s="40" t="s">
        <v>139</v>
      </c>
      <c r="B48" s="40" t="s">
        <v>140</v>
      </c>
      <c r="C48" s="40" t="s">
        <v>82</v>
      </c>
      <c r="D48" s="40" t="n">
        <v>4</v>
      </c>
      <c r="E48" s="41" t="n">
        <v>352</v>
      </c>
      <c r="F48" s="42" t="n">
        <f aca="false">IF(E48="","",D48*E48)</f>
        <v>1408</v>
      </c>
    </row>
    <row r="49" customFormat="false" ht="15" hidden="false" customHeight="true" outlineLevel="0" collapsed="false">
      <c r="A49" s="40" t="s">
        <v>139</v>
      </c>
      <c r="B49" s="40" t="s">
        <v>140</v>
      </c>
      <c r="C49" s="40" t="s">
        <v>24</v>
      </c>
      <c r="D49" s="40" t="n">
        <v>4</v>
      </c>
      <c r="E49" s="41" t="n">
        <v>500</v>
      </c>
      <c r="F49" s="42" t="n">
        <f aca="false">IF(E49="","",D49*E49)</f>
        <v>2000</v>
      </c>
    </row>
    <row r="50" customFormat="false" ht="15" hidden="false" customHeight="true" outlineLevel="0" collapsed="false">
      <c r="A50" s="40" t="s">
        <v>139</v>
      </c>
      <c r="B50" s="40" t="s">
        <v>140</v>
      </c>
      <c r="C50" s="40" t="s">
        <v>23</v>
      </c>
      <c r="D50" s="40" t="n">
        <v>4</v>
      </c>
      <c r="E50" s="41" t="n">
        <v>400</v>
      </c>
      <c r="F50" s="42" t="n">
        <f aca="false">IF(E50="","",D50*E50)</f>
        <v>1600</v>
      </c>
    </row>
    <row r="51" customFormat="false" ht="15" hidden="false" customHeight="true" outlineLevel="0" collapsed="false">
      <c r="A51" s="40" t="s">
        <v>139</v>
      </c>
      <c r="B51" s="40" t="s">
        <v>140</v>
      </c>
      <c r="C51" s="40" t="s">
        <v>25</v>
      </c>
      <c r="D51" s="40" t="n">
        <v>3</v>
      </c>
      <c r="E51" s="41" t="n">
        <v>350</v>
      </c>
      <c r="F51" s="42" t="n">
        <f aca="false">IF(E51="","",D51*E51)</f>
        <v>1050</v>
      </c>
    </row>
    <row r="52" customFormat="false" ht="15" hidden="false" customHeight="true" outlineLevel="0" collapsed="false">
      <c r="A52" s="40" t="s">
        <v>139</v>
      </c>
      <c r="B52" s="40" t="s">
        <v>140</v>
      </c>
      <c r="C52" s="40" t="s">
        <v>22</v>
      </c>
      <c r="D52" s="40" t="n">
        <v>1</v>
      </c>
      <c r="E52" s="41" t="n">
        <v>450</v>
      </c>
      <c r="F52" s="42" t="n">
        <f aca="false">IF(E52="","",D52*E52)</f>
        <v>450</v>
      </c>
    </row>
    <row r="53" customFormat="false" ht="15" hidden="false" customHeight="true" outlineLevel="0" collapsed="false">
      <c r="A53" s="40" t="s">
        <v>141</v>
      </c>
      <c r="B53" s="40" t="s">
        <v>142</v>
      </c>
      <c r="C53" s="40" t="s">
        <v>11</v>
      </c>
      <c r="D53" s="40" t="n">
        <v>20</v>
      </c>
      <c r="E53" s="41" t="n">
        <v>240</v>
      </c>
      <c r="F53" s="42" t="n">
        <f aca="false">IF(E53="","",D53*E53)</f>
        <v>4800</v>
      </c>
    </row>
    <row r="54" customFormat="false" ht="15" hidden="false" customHeight="true" outlineLevel="0" collapsed="false">
      <c r="A54" s="40" t="s">
        <v>141</v>
      </c>
      <c r="B54" s="40" t="s">
        <v>142</v>
      </c>
      <c r="C54" s="40" t="s">
        <v>14</v>
      </c>
      <c r="D54" s="40" t="n">
        <v>20</v>
      </c>
      <c r="E54" s="41" t="n">
        <v>150</v>
      </c>
      <c r="F54" s="42" t="n">
        <f aca="false">IF(E54="","",D54*E54)</f>
        <v>3000</v>
      </c>
    </row>
    <row r="55" customFormat="false" ht="15" hidden="false" customHeight="true" outlineLevel="0" collapsed="false">
      <c r="A55" s="40" t="s">
        <v>141</v>
      </c>
      <c r="B55" s="40" t="s">
        <v>142</v>
      </c>
      <c r="C55" s="40" t="s">
        <v>17</v>
      </c>
      <c r="D55" s="40" t="n">
        <v>20</v>
      </c>
      <c r="E55" s="41" t="n">
        <v>150</v>
      </c>
      <c r="F55" s="42" t="n">
        <f aca="false">IF(E55="","",D55*E55)</f>
        <v>3000</v>
      </c>
    </row>
    <row r="56" customFormat="false" ht="15" hidden="false" customHeight="true" outlineLevel="0" collapsed="false">
      <c r="A56" s="40" t="s">
        <v>141</v>
      </c>
      <c r="B56" s="40" t="s">
        <v>142</v>
      </c>
      <c r="C56" s="40" t="s">
        <v>12</v>
      </c>
      <c r="D56" s="40" t="n">
        <v>20</v>
      </c>
      <c r="E56" s="41" t="n">
        <v>145</v>
      </c>
      <c r="F56" s="42" t="n">
        <f aca="false">IF(E56="","",D56*E56)</f>
        <v>2900</v>
      </c>
    </row>
    <row r="57" customFormat="false" ht="15" hidden="false" customHeight="true" outlineLevel="0" collapsed="false">
      <c r="A57" s="40" t="s">
        <v>141</v>
      </c>
      <c r="B57" s="40" t="s">
        <v>142</v>
      </c>
      <c r="C57" s="40" t="s">
        <v>15</v>
      </c>
      <c r="D57" s="40" t="n">
        <v>10</v>
      </c>
      <c r="E57" s="41" t="n">
        <v>200</v>
      </c>
      <c r="F57" s="42" t="n">
        <f aca="false">IF(E57="","",D57*E57)</f>
        <v>2000</v>
      </c>
    </row>
    <row r="58" customFormat="false" ht="15" hidden="false" customHeight="true" outlineLevel="0" collapsed="false">
      <c r="A58" s="40" t="s">
        <v>141</v>
      </c>
      <c r="B58" s="40" t="s">
        <v>142</v>
      </c>
      <c r="C58" s="40" t="s">
        <v>13</v>
      </c>
      <c r="D58" s="40" t="n">
        <v>10</v>
      </c>
      <c r="E58" s="41" t="n">
        <v>174</v>
      </c>
      <c r="F58" s="42" t="n">
        <f aca="false">IF(E58="","",D58*E58)</f>
        <v>1740</v>
      </c>
    </row>
    <row r="59" customFormat="false" ht="15" hidden="false" customHeight="true" outlineLevel="0" collapsed="false">
      <c r="A59" s="40" t="s">
        <v>141</v>
      </c>
      <c r="B59" s="40" t="s">
        <v>142</v>
      </c>
      <c r="C59" s="40" t="s">
        <v>16</v>
      </c>
      <c r="D59" s="40" t="n">
        <v>10</v>
      </c>
      <c r="E59" s="41" t="n">
        <v>200</v>
      </c>
      <c r="F59" s="42" t="n">
        <f aca="false">IF(E59="","",D59*E59)</f>
        <v>2000</v>
      </c>
    </row>
    <row r="60" customFormat="false" ht="15" hidden="false" customHeight="true" outlineLevel="0" collapsed="false">
      <c r="A60" s="40" t="s">
        <v>141</v>
      </c>
      <c r="B60" s="40" t="s">
        <v>142</v>
      </c>
      <c r="C60" s="40" t="s">
        <v>19</v>
      </c>
      <c r="D60" s="40" t="n">
        <v>7</v>
      </c>
      <c r="E60" s="41" t="n">
        <v>190</v>
      </c>
      <c r="F60" s="42" t="n">
        <f aca="false">IF(E60="","",D60*E60)</f>
        <v>1330</v>
      </c>
    </row>
    <row r="61" customFormat="false" ht="15" hidden="false" customHeight="true" outlineLevel="0" collapsed="false">
      <c r="A61" s="40" t="s">
        <v>141</v>
      </c>
      <c r="B61" s="40" t="s">
        <v>142</v>
      </c>
      <c r="C61" s="40" t="s">
        <v>18</v>
      </c>
      <c r="D61" s="40" t="n">
        <v>7</v>
      </c>
      <c r="E61" s="41" t="n">
        <v>320</v>
      </c>
      <c r="F61" s="42" t="n">
        <f aca="false">IF(E61="","",D61*E61)</f>
        <v>2240</v>
      </c>
    </row>
    <row r="62" customFormat="false" ht="15" hidden="false" customHeight="true" outlineLevel="0" collapsed="false">
      <c r="A62" s="40" t="s">
        <v>141</v>
      </c>
      <c r="B62" s="40" t="s">
        <v>142</v>
      </c>
      <c r="C62" s="40" t="s">
        <v>20</v>
      </c>
      <c r="D62" s="40" t="n">
        <v>6</v>
      </c>
      <c r="E62" s="41" t="n">
        <v>190</v>
      </c>
      <c r="F62" s="42" t="n">
        <f aca="false">IF(E62="","",D62*E62)</f>
        <v>1140</v>
      </c>
    </row>
    <row r="63" customFormat="false" ht="15" hidden="false" customHeight="true" outlineLevel="0" collapsed="false">
      <c r="A63" s="40" t="s">
        <v>141</v>
      </c>
      <c r="B63" s="40" t="s">
        <v>142</v>
      </c>
      <c r="C63" s="40" t="s">
        <v>24</v>
      </c>
      <c r="D63" s="40" t="n">
        <v>5</v>
      </c>
      <c r="E63" s="41" t="n">
        <v>500</v>
      </c>
      <c r="F63" s="42" t="n">
        <f aca="false">IF(E63="","",D63*E63)</f>
        <v>2500</v>
      </c>
    </row>
    <row r="64" customFormat="false" ht="15" hidden="false" customHeight="true" outlineLevel="0" collapsed="false">
      <c r="A64" s="40" t="s">
        <v>141</v>
      </c>
      <c r="B64" s="40" t="s">
        <v>142</v>
      </c>
      <c r="C64" s="40" t="s">
        <v>23</v>
      </c>
      <c r="D64" s="40" t="n">
        <v>5</v>
      </c>
      <c r="E64" s="41" t="n">
        <v>400</v>
      </c>
      <c r="F64" s="42" t="n">
        <f aca="false">IF(E64="","",D64*E64)</f>
        <v>2000</v>
      </c>
    </row>
    <row r="65" customFormat="false" ht="15" hidden="false" customHeight="true" outlineLevel="0" collapsed="false">
      <c r="A65" s="40" t="s">
        <v>141</v>
      </c>
      <c r="B65" s="40" t="s">
        <v>142</v>
      </c>
      <c r="C65" s="40" t="s">
        <v>26</v>
      </c>
      <c r="D65" s="40" t="n">
        <v>5</v>
      </c>
      <c r="E65" s="41" t="n">
        <v>450</v>
      </c>
      <c r="F65" s="42" t="n">
        <f aca="false">IF(E65="","",D65*E65)</f>
        <v>2250</v>
      </c>
    </row>
    <row r="66" customFormat="false" ht="15" hidden="false" customHeight="true" outlineLevel="0" collapsed="false">
      <c r="A66" s="40" t="s">
        <v>141</v>
      </c>
      <c r="B66" s="40" t="s">
        <v>142</v>
      </c>
      <c r="C66" s="40" t="s">
        <v>22</v>
      </c>
      <c r="D66" s="40" t="n">
        <v>5</v>
      </c>
      <c r="E66" s="41" t="n">
        <v>450</v>
      </c>
      <c r="F66" s="42" t="n">
        <f aca="false">IF(E66="","",D66*E66)</f>
        <v>2250</v>
      </c>
    </row>
    <row r="67" customFormat="false" ht="15" hidden="false" customHeight="true" outlineLevel="0" collapsed="false">
      <c r="A67" s="40" t="s">
        <v>141</v>
      </c>
      <c r="B67" s="40" t="s">
        <v>142</v>
      </c>
      <c r="C67" s="40" t="s">
        <v>21</v>
      </c>
      <c r="D67" s="40" t="n">
        <v>5</v>
      </c>
      <c r="E67" s="41" t="n">
        <v>675</v>
      </c>
      <c r="F67" s="42" t="n">
        <f aca="false">IF(E67="","",D67*E67)</f>
        <v>3375</v>
      </c>
    </row>
    <row r="68" customFormat="false" ht="15" hidden="false" customHeight="true" outlineLevel="0" collapsed="false">
      <c r="A68" s="40" t="s">
        <v>141</v>
      </c>
      <c r="B68" s="40" t="s">
        <v>142</v>
      </c>
      <c r="C68" s="40" t="s">
        <v>27</v>
      </c>
      <c r="D68" s="40" t="n">
        <v>3</v>
      </c>
      <c r="E68" s="41" t="n">
        <v>350</v>
      </c>
      <c r="F68" s="42" t="n">
        <f aca="false">IF(E68="","",D68*E68)</f>
        <v>1050</v>
      </c>
    </row>
    <row r="69" customFormat="false" ht="15" hidden="false" customHeight="true" outlineLevel="0" collapsed="false">
      <c r="A69" s="40" t="s">
        <v>141</v>
      </c>
      <c r="B69" s="40" t="s">
        <v>142</v>
      </c>
      <c r="C69" s="40" t="s">
        <v>82</v>
      </c>
      <c r="D69" s="40" t="n">
        <v>3</v>
      </c>
      <c r="E69" s="41" t="n">
        <v>352</v>
      </c>
      <c r="F69" s="42" t="n">
        <f aca="false">IF(E69="","",D69*E69)</f>
        <v>1056</v>
      </c>
    </row>
    <row r="70" customFormat="false" ht="15" hidden="false" customHeight="true" outlineLevel="0" collapsed="false">
      <c r="A70" s="40" t="s">
        <v>141</v>
      </c>
      <c r="B70" s="40" t="s">
        <v>142</v>
      </c>
      <c r="C70" s="40" t="s">
        <v>28</v>
      </c>
      <c r="D70" s="40" t="n">
        <v>3</v>
      </c>
      <c r="E70" s="41" t="n">
        <v>352</v>
      </c>
      <c r="F70" s="42" t="n">
        <f aca="false">IF(E70="","",D70*E70)</f>
        <v>1056</v>
      </c>
    </row>
    <row r="71" customFormat="false" ht="15" hidden="false" customHeight="true" outlineLevel="0" collapsed="false">
      <c r="A71" s="40" t="s">
        <v>141</v>
      </c>
      <c r="B71" s="40" t="s">
        <v>142</v>
      </c>
      <c r="C71" s="40" t="s">
        <v>32</v>
      </c>
      <c r="D71" s="40" t="n">
        <v>1</v>
      </c>
      <c r="E71" s="41" t="n">
        <v>145</v>
      </c>
      <c r="F71" s="42" t="n">
        <f aca="false">IF(E71="","",D71*E71)</f>
        <v>145</v>
      </c>
    </row>
    <row r="72" customFormat="false" ht="15" hidden="false" customHeight="true" outlineLevel="0" collapsed="false">
      <c r="A72" s="40" t="s">
        <v>141</v>
      </c>
      <c r="B72" s="40" t="s">
        <v>142</v>
      </c>
      <c r="C72" s="40" t="s">
        <v>29</v>
      </c>
      <c r="D72" s="40" t="n">
        <v>1</v>
      </c>
      <c r="E72" s="41" t="n">
        <v>500</v>
      </c>
      <c r="F72" s="42" t="n">
        <f aca="false">IF(E72="","",D72*E72)</f>
        <v>500</v>
      </c>
    </row>
    <row r="73" customFormat="false" ht="15" hidden="false" customHeight="true" outlineLevel="0" collapsed="false">
      <c r="A73" s="40" t="s">
        <v>143</v>
      </c>
      <c r="B73" s="40" t="s">
        <v>144</v>
      </c>
      <c r="C73" s="40" t="s">
        <v>12</v>
      </c>
      <c r="D73" s="40" t="n">
        <v>20</v>
      </c>
      <c r="E73" s="41" t="n">
        <v>145</v>
      </c>
      <c r="F73" s="42" t="n">
        <f aca="false">IF(E73="","",D73*E73)</f>
        <v>2900</v>
      </c>
    </row>
    <row r="74" customFormat="false" ht="15" hidden="false" customHeight="true" outlineLevel="0" collapsed="false">
      <c r="A74" s="40" t="s">
        <v>143</v>
      </c>
      <c r="B74" s="40" t="s">
        <v>144</v>
      </c>
      <c r="C74" s="40" t="s">
        <v>17</v>
      </c>
      <c r="D74" s="40" t="n">
        <v>20</v>
      </c>
      <c r="E74" s="41" t="n">
        <v>150</v>
      </c>
      <c r="F74" s="42" t="n">
        <f aca="false">IF(E74="","",D74*E74)</f>
        <v>3000</v>
      </c>
    </row>
    <row r="75" customFormat="false" ht="15" hidden="false" customHeight="true" outlineLevel="0" collapsed="false">
      <c r="A75" s="40" t="s">
        <v>143</v>
      </c>
      <c r="B75" s="40" t="s">
        <v>144</v>
      </c>
      <c r="C75" s="40" t="s">
        <v>14</v>
      </c>
      <c r="D75" s="40" t="n">
        <v>20</v>
      </c>
      <c r="E75" s="41" t="n">
        <v>150</v>
      </c>
      <c r="F75" s="42" t="n">
        <f aca="false">IF(E75="","",D75*E75)</f>
        <v>3000</v>
      </c>
    </row>
    <row r="76" customFormat="false" ht="15" hidden="false" customHeight="true" outlineLevel="0" collapsed="false">
      <c r="A76" s="40" t="s">
        <v>143</v>
      </c>
      <c r="B76" s="40" t="s">
        <v>144</v>
      </c>
      <c r="C76" s="40" t="s">
        <v>11</v>
      </c>
      <c r="D76" s="40" t="n">
        <v>20</v>
      </c>
      <c r="E76" s="41" t="n">
        <v>240</v>
      </c>
      <c r="F76" s="42" t="n">
        <f aca="false">IF(E76="","",D76*E76)</f>
        <v>4800</v>
      </c>
    </row>
    <row r="77" customFormat="false" ht="15" hidden="false" customHeight="true" outlineLevel="0" collapsed="false">
      <c r="A77" s="40" t="s">
        <v>143</v>
      </c>
      <c r="B77" s="40" t="s">
        <v>144</v>
      </c>
      <c r="C77" s="40" t="s">
        <v>15</v>
      </c>
      <c r="D77" s="40" t="n">
        <v>11</v>
      </c>
      <c r="E77" s="41" t="n">
        <v>200</v>
      </c>
      <c r="F77" s="42" t="n">
        <f aca="false">IF(E77="","",D77*E77)</f>
        <v>2200</v>
      </c>
    </row>
    <row r="78" customFormat="false" ht="15" hidden="false" customHeight="true" outlineLevel="0" collapsed="false">
      <c r="A78" s="40" t="s">
        <v>143</v>
      </c>
      <c r="B78" s="40" t="s">
        <v>144</v>
      </c>
      <c r="C78" s="40" t="s">
        <v>13</v>
      </c>
      <c r="D78" s="40" t="n">
        <v>10</v>
      </c>
      <c r="E78" s="41" t="n">
        <v>174</v>
      </c>
      <c r="F78" s="42" t="n">
        <f aca="false">IF(E78="","",D78*E78)</f>
        <v>1740</v>
      </c>
    </row>
    <row r="79" customFormat="false" ht="15" hidden="false" customHeight="true" outlineLevel="0" collapsed="false">
      <c r="A79" s="40" t="s">
        <v>143</v>
      </c>
      <c r="B79" s="40" t="s">
        <v>144</v>
      </c>
      <c r="C79" s="40" t="s">
        <v>16</v>
      </c>
      <c r="D79" s="40" t="n">
        <v>9</v>
      </c>
      <c r="E79" s="41" t="n">
        <v>200</v>
      </c>
      <c r="F79" s="42" t="n">
        <f aca="false">IF(E79="","",D79*E79)</f>
        <v>1800</v>
      </c>
    </row>
    <row r="80" customFormat="false" ht="15" hidden="false" customHeight="true" outlineLevel="0" collapsed="false">
      <c r="A80" s="40" t="s">
        <v>143</v>
      </c>
      <c r="B80" s="40" t="s">
        <v>144</v>
      </c>
      <c r="C80" s="40" t="s">
        <v>18</v>
      </c>
      <c r="D80" s="40" t="n">
        <v>7</v>
      </c>
      <c r="E80" s="41" t="n">
        <v>320</v>
      </c>
      <c r="F80" s="42" t="n">
        <f aca="false">IF(E80="","",D80*E80)</f>
        <v>2240</v>
      </c>
    </row>
    <row r="81" customFormat="false" ht="15" hidden="false" customHeight="true" outlineLevel="0" collapsed="false">
      <c r="A81" s="40" t="s">
        <v>143</v>
      </c>
      <c r="B81" s="40" t="s">
        <v>144</v>
      </c>
      <c r="C81" s="40" t="s">
        <v>20</v>
      </c>
      <c r="D81" s="40" t="n">
        <v>6</v>
      </c>
      <c r="E81" s="41" t="n">
        <v>190</v>
      </c>
      <c r="F81" s="42" t="n">
        <f aca="false">IF(E81="","",D81*E81)</f>
        <v>1140</v>
      </c>
    </row>
    <row r="82" customFormat="false" ht="15" hidden="false" customHeight="true" outlineLevel="0" collapsed="false">
      <c r="A82" s="40" t="s">
        <v>143</v>
      </c>
      <c r="B82" s="40" t="s">
        <v>144</v>
      </c>
      <c r="C82" s="40" t="s">
        <v>19</v>
      </c>
      <c r="D82" s="40" t="n">
        <v>6</v>
      </c>
      <c r="E82" s="41" t="n">
        <v>190</v>
      </c>
      <c r="F82" s="42" t="n">
        <f aca="false">IF(E82="","",D82*E82)</f>
        <v>1140</v>
      </c>
    </row>
    <row r="83" customFormat="false" ht="15" hidden="false" customHeight="true" outlineLevel="0" collapsed="false">
      <c r="A83" s="40" t="s">
        <v>143</v>
      </c>
      <c r="B83" s="40" t="s">
        <v>144</v>
      </c>
      <c r="C83" s="40" t="s">
        <v>23</v>
      </c>
      <c r="D83" s="40" t="n">
        <v>5</v>
      </c>
      <c r="E83" s="41" t="n">
        <v>400</v>
      </c>
      <c r="F83" s="42" t="n">
        <f aca="false">IF(E83="","",D83*E83)</f>
        <v>2000</v>
      </c>
    </row>
    <row r="84" customFormat="false" ht="15" hidden="false" customHeight="true" outlineLevel="0" collapsed="false">
      <c r="A84" s="40" t="s">
        <v>143</v>
      </c>
      <c r="B84" s="40" t="s">
        <v>144</v>
      </c>
      <c r="C84" s="40" t="s">
        <v>21</v>
      </c>
      <c r="D84" s="40" t="n">
        <v>5</v>
      </c>
      <c r="E84" s="41" t="n">
        <v>675</v>
      </c>
      <c r="F84" s="42" t="n">
        <f aca="false">IF(E84="","",D84*E84)</f>
        <v>3375</v>
      </c>
    </row>
    <row r="85" customFormat="false" ht="15" hidden="false" customHeight="true" outlineLevel="0" collapsed="false">
      <c r="A85" s="40" t="s">
        <v>143</v>
      </c>
      <c r="B85" s="40" t="s">
        <v>144</v>
      </c>
      <c r="C85" s="40" t="s">
        <v>22</v>
      </c>
      <c r="D85" s="40" t="n">
        <v>5</v>
      </c>
      <c r="E85" s="41" t="n">
        <v>450</v>
      </c>
      <c r="F85" s="42" t="n">
        <f aca="false">IF(E85="","",D85*E85)</f>
        <v>2250</v>
      </c>
    </row>
    <row r="86" customFormat="false" ht="15" hidden="false" customHeight="true" outlineLevel="0" collapsed="false">
      <c r="A86" s="40" t="s">
        <v>143</v>
      </c>
      <c r="B86" s="40" t="s">
        <v>144</v>
      </c>
      <c r="C86" s="40" t="s">
        <v>26</v>
      </c>
      <c r="D86" s="40" t="n">
        <v>5</v>
      </c>
      <c r="E86" s="41" t="n">
        <v>450</v>
      </c>
      <c r="F86" s="42" t="n">
        <f aca="false">IF(E86="","",D86*E86)</f>
        <v>2250</v>
      </c>
    </row>
    <row r="87" customFormat="false" ht="15" hidden="false" customHeight="true" outlineLevel="0" collapsed="false">
      <c r="A87" s="40" t="s">
        <v>143</v>
      </c>
      <c r="B87" s="40" t="s">
        <v>144</v>
      </c>
      <c r="C87" s="40" t="s">
        <v>24</v>
      </c>
      <c r="D87" s="40" t="n">
        <v>5</v>
      </c>
      <c r="E87" s="41" t="n">
        <v>500</v>
      </c>
      <c r="F87" s="42" t="n">
        <f aca="false">IF(E87="","",D87*E87)</f>
        <v>2500</v>
      </c>
    </row>
    <row r="88" customFormat="false" ht="15" hidden="false" customHeight="true" outlineLevel="0" collapsed="false">
      <c r="A88" s="40" t="s">
        <v>143</v>
      </c>
      <c r="B88" s="40" t="s">
        <v>144</v>
      </c>
      <c r="C88" s="40" t="s">
        <v>28</v>
      </c>
      <c r="D88" s="40" t="n">
        <v>3</v>
      </c>
      <c r="E88" s="41" t="n">
        <v>352</v>
      </c>
      <c r="F88" s="42" t="n">
        <f aca="false">IF(E88="","",D88*E88)</f>
        <v>1056</v>
      </c>
    </row>
    <row r="89" customFormat="false" ht="15" hidden="false" customHeight="true" outlineLevel="0" collapsed="false">
      <c r="A89" s="40" t="s">
        <v>143</v>
      </c>
      <c r="B89" s="40" t="s">
        <v>144</v>
      </c>
      <c r="C89" s="40" t="s">
        <v>27</v>
      </c>
      <c r="D89" s="40" t="n">
        <v>3</v>
      </c>
      <c r="E89" s="41" t="n">
        <v>350</v>
      </c>
      <c r="F89" s="42" t="n">
        <f aca="false">IF(E89="","",D89*E89)</f>
        <v>1050</v>
      </c>
    </row>
    <row r="90" customFormat="false" ht="15" hidden="false" customHeight="true" outlineLevel="0" collapsed="false">
      <c r="A90" s="40" t="s">
        <v>143</v>
      </c>
      <c r="B90" s="40" t="s">
        <v>144</v>
      </c>
      <c r="C90" s="40" t="s">
        <v>82</v>
      </c>
      <c r="D90" s="40" t="n">
        <v>3</v>
      </c>
      <c r="E90" s="41" t="n">
        <v>352</v>
      </c>
      <c r="F90" s="42" t="n">
        <f aca="false">IF(E90="","",D90*E90)</f>
        <v>1056</v>
      </c>
    </row>
    <row r="91" customFormat="false" ht="15" hidden="false" customHeight="true" outlineLevel="0" collapsed="false">
      <c r="A91" s="40" t="s">
        <v>143</v>
      </c>
      <c r="B91" s="40" t="s">
        <v>144</v>
      </c>
      <c r="C91" s="40" t="s">
        <v>29</v>
      </c>
      <c r="D91" s="40" t="n">
        <v>2</v>
      </c>
      <c r="E91" s="41" t="n">
        <v>500</v>
      </c>
      <c r="F91" s="42" t="n">
        <f aca="false">IF(E91="","",D91*E91)</f>
        <v>1000</v>
      </c>
    </row>
    <row r="92" customFormat="false" ht="15" hidden="false" customHeight="true" outlineLevel="0" collapsed="false">
      <c r="A92" s="40" t="s">
        <v>145</v>
      </c>
      <c r="B92" s="40" t="s">
        <v>146</v>
      </c>
      <c r="C92" s="40" t="s">
        <v>12</v>
      </c>
      <c r="D92" s="40" t="n">
        <v>21</v>
      </c>
      <c r="E92" s="41" t="n">
        <v>145</v>
      </c>
      <c r="F92" s="42" t="n">
        <f aca="false">IF(E92="","",D92*E92)</f>
        <v>3045</v>
      </c>
    </row>
    <row r="93" customFormat="false" ht="15" hidden="false" customHeight="true" outlineLevel="0" collapsed="false">
      <c r="A93" s="40" t="s">
        <v>145</v>
      </c>
      <c r="B93" s="40" t="s">
        <v>146</v>
      </c>
      <c r="C93" s="40" t="s">
        <v>14</v>
      </c>
      <c r="D93" s="40" t="n">
        <v>20</v>
      </c>
      <c r="E93" s="41" t="n">
        <v>150</v>
      </c>
      <c r="F93" s="42" t="n">
        <f aca="false">IF(E93="","",D93*E93)</f>
        <v>3000</v>
      </c>
    </row>
    <row r="94" customFormat="false" ht="15" hidden="false" customHeight="true" outlineLevel="0" collapsed="false">
      <c r="A94" s="40" t="s">
        <v>145</v>
      </c>
      <c r="B94" s="40" t="s">
        <v>146</v>
      </c>
      <c r="C94" s="40" t="s">
        <v>11</v>
      </c>
      <c r="D94" s="40" t="n">
        <v>20</v>
      </c>
      <c r="E94" s="41" t="n">
        <v>240</v>
      </c>
      <c r="F94" s="42" t="n">
        <f aca="false">IF(E94="","",D94*E94)</f>
        <v>4800</v>
      </c>
    </row>
    <row r="95" customFormat="false" ht="15" hidden="false" customHeight="true" outlineLevel="0" collapsed="false">
      <c r="A95" s="40" t="s">
        <v>145</v>
      </c>
      <c r="B95" s="40" t="s">
        <v>146</v>
      </c>
      <c r="C95" s="40" t="s">
        <v>17</v>
      </c>
      <c r="D95" s="40" t="n">
        <v>17</v>
      </c>
      <c r="E95" s="41" t="n">
        <v>150</v>
      </c>
      <c r="F95" s="42" t="n">
        <f aca="false">IF(E95="","",D95*E95)</f>
        <v>2550</v>
      </c>
    </row>
    <row r="96" customFormat="false" ht="15" hidden="false" customHeight="true" outlineLevel="0" collapsed="false">
      <c r="A96" s="40" t="s">
        <v>145</v>
      </c>
      <c r="B96" s="40" t="s">
        <v>146</v>
      </c>
      <c r="C96" s="40" t="s">
        <v>13</v>
      </c>
      <c r="D96" s="40" t="n">
        <v>10</v>
      </c>
      <c r="E96" s="41" t="n">
        <v>174</v>
      </c>
      <c r="F96" s="42" t="n">
        <f aca="false">IF(E96="","",D96*E96)</f>
        <v>1740</v>
      </c>
    </row>
    <row r="97" customFormat="false" ht="15" hidden="false" customHeight="true" outlineLevel="0" collapsed="false">
      <c r="A97" s="40" t="s">
        <v>145</v>
      </c>
      <c r="B97" s="40" t="s">
        <v>146</v>
      </c>
      <c r="C97" s="40" t="s">
        <v>15</v>
      </c>
      <c r="D97" s="40" t="n">
        <v>10</v>
      </c>
      <c r="E97" s="41" t="n">
        <v>200</v>
      </c>
      <c r="F97" s="42" t="n">
        <f aca="false">IF(E97="","",D97*E97)</f>
        <v>2000</v>
      </c>
    </row>
    <row r="98" customFormat="false" ht="15" hidden="false" customHeight="true" outlineLevel="0" collapsed="false">
      <c r="A98" s="40" t="s">
        <v>145</v>
      </c>
      <c r="B98" s="40" t="s">
        <v>146</v>
      </c>
      <c r="C98" s="40" t="s">
        <v>16</v>
      </c>
      <c r="D98" s="40" t="n">
        <v>9</v>
      </c>
      <c r="E98" s="41" t="n">
        <v>200</v>
      </c>
      <c r="F98" s="42" t="n">
        <f aca="false">IF(E98="","",D98*E98)</f>
        <v>1800</v>
      </c>
    </row>
    <row r="99" customFormat="false" ht="15" hidden="false" customHeight="true" outlineLevel="0" collapsed="false">
      <c r="A99" s="40" t="s">
        <v>145</v>
      </c>
      <c r="B99" s="40" t="s">
        <v>146</v>
      </c>
      <c r="C99" s="40" t="s">
        <v>18</v>
      </c>
      <c r="D99" s="40" t="n">
        <v>7</v>
      </c>
      <c r="E99" s="41" t="n">
        <v>320</v>
      </c>
      <c r="F99" s="42" t="n">
        <f aca="false">IF(E99="","",D99*E99)</f>
        <v>2240</v>
      </c>
    </row>
    <row r="100" customFormat="false" ht="15" hidden="false" customHeight="true" outlineLevel="0" collapsed="false">
      <c r="A100" s="40" t="s">
        <v>145</v>
      </c>
      <c r="B100" s="40" t="s">
        <v>146</v>
      </c>
      <c r="C100" s="40" t="s">
        <v>26</v>
      </c>
      <c r="D100" s="40" t="n">
        <v>6</v>
      </c>
      <c r="E100" s="41" t="n">
        <v>450</v>
      </c>
      <c r="F100" s="42" t="n">
        <f aca="false">IF(E100="","",D100*E100)</f>
        <v>2700</v>
      </c>
    </row>
    <row r="101" customFormat="false" ht="15" hidden="false" customHeight="true" outlineLevel="0" collapsed="false">
      <c r="A101" s="40" t="s">
        <v>145</v>
      </c>
      <c r="B101" s="40" t="s">
        <v>146</v>
      </c>
      <c r="C101" s="40" t="s">
        <v>20</v>
      </c>
      <c r="D101" s="40" t="n">
        <v>6</v>
      </c>
      <c r="E101" s="41" t="n">
        <v>190</v>
      </c>
      <c r="F101" s="42" t="n">
        <f aca="false">IF(E101="","",D101*E101)</f>
        <v>1140</v>
      </c>
    </row>
    <row r="102" customFormat="false" ht="15" hidden="false" customHeight="true" outlineLevel="0" collapsed="false">
      <c r="A102" s="40" t="s">
        <v>145</v>
      </c>
      <c r="B102" s="40" t="s">
        <v>146</v>
      </c>
      <c r="C102" s="40" t="s">
        <v>22</v>
      </c>
      <c r="D102" s="40" t="n">
        <v>5</v>
      </c>
      <c r="E102" s="41" t="n">
        <v>450</v>
      </c>
      <c r="F102" s="42" t="n">
        <f aca="false">IF(E102="","",D102*E102)</f>
        <v>2250</v>
      </c>
    </row>
    <row r="103" customFormat="false" ht="15" hidden="false" customHeight="true" outlineLevel="0" collapsed="false">
      <c r="A103" s="40" t="s">
        <v>145</v>
      </c>
      <c r="B103" s="40" t="s">
        <v>146</v>
      </c>
      <c r="C103" s="40" t="s">
        <v>19</v>
      </c>
      <c r="D103" s="40" t="n">
        <v>5</v>
      </c>
      <c r="E103" s="41" t="n">
        <v>190</v>
      </c>
      <c r="F103" s="42" t="n">
        <f aca="false">IF(E103="","",D103*E103)</f>
        <v>950</v>
      </c>
    </row>
    <row r="104" customFormat="false" ht="15" hidden="false" customHeight="true" outlineLevel="0" collapsed="false">
      <c r="A104" s="40" t="s">
        <v>145</v>
      </c>
      <c r="B104" s="40" t="s">
        <v>146</v>
      </c>
      <c r="C104" s="40" t="s">
        <v>23</v>
      </c>
      <c r="D104" s="40" t="n">
        <v>5</v>
      </c>
      <c r="E104" s="41" t="n">
        <v>400</v>
      </c>
      <c r="F104" s="42" t="n">
        <f aca="false">IF(E104="","",D104*E104)</f>
        <v>2000</v>
      </c>
    </row>
    <row r="105" customFormat="false" ht="15" hidden="false" customHeight="true" outlineLevel="0" collapsed="false">
      <c r="A105" s="40" t="s">
        <v>145</v>
      </c>
      <c r="B105" s="40" t="s">
        <v>146</v>
      </c>
      <c r="C105" s="40" t="s">
        <v>24</v>
      </c>
      <c r="D105" s="40" t="n">
        <v>4</v>
      </c>
      <c r="E105" s="41" t="n">
        <v>500</v>
      </c>
      <c r="F105" s="42" t="n">
        <f aca="false">IF(E105="","",D105*E105)</f>
        <v>2000</v>
      </c>
    </row>
    <row r="106" customFormat="false" ht="15" hidden="false" customHeight="true" outlineLevel="0" collapsed="false">
      <c r="A106" s="40" t="s">
        <v>145</v>
      </c>
      <c r="B106" s="40" t="s">
        <v>146</v>
      </c>
      <c r="C106" s="40" t="s">
        <v>21</v>
      </c>
      <c r="D106" s="40" t="n">
        <v>4</v>
      </c>
      <c r="E106" s="41" t="n">
        <v>675</v>
      </c>
      <c r="F106" s="42" t="n">
        <f aca="false">IF(E106="","",D106*E106)</f>
        <v>2700</v>
      </c>
    </row>
    <row r="107" customFormat="false" ht="15" hidden="false" customHeight="true" outlineLevel="0" collapsed="false">
      <c r="A107" s="40" t="s">
        <v>145</v>
      </c>
      <c r="B107" s="40" t="s">
        <v>146</v>
      </c>
      <c r="C107" s="40" t="s">
        <v>82</v>
      </c>
      <c r="D107" s="40" t="n">
        <v>3</v>
      </c>
      <c r="E107" s="41" t="n">
        <v>352</v>
      </c>
      <c r="F107" s="42" t="n">
        <f aca="false">IF(E107="","",D107*E107)</f>
        <v>1056</v>
      </c>
    </row>
    <row r="108" customFormat="false" ht="15" hidden="false" customHeight="true" outlineLevel="0" collapsed="false">
      <c r="A108" s="40" t="s">
        <v>145</v>
      </c>
      <c r="B108" s="40" t="s">
        <v>146</v>
      </c>
      <c r="C108" s="40" t="s">
        <v>27</v>
      </c>
      <c r="D108" s="40" t="n">
        <v>3</v>
      </c>
      <c r="E108" s="41" t="n">
        <v>350</v>
      </c>
      <c r="F108" s="42" t="n">
        <f aca="false">IF(E108="","",D108*E108)</f>
        <v>1050</v>
      </c>
    </row>
    <row r="109" customFormat="false" ht="15" hidden="false" customHeight="true" outlineLevel="0" collapsed="false">
      <c r="A109" s="40" t="s">
        <v>145</v>
      </c>
      <c r="B109" s="40" t="s">
        <v>146</v>
      </c>
      <c r="C109" s="40" t="s">
        <v>28</v>
      </c>
      <c r="D109" s="40" t="n">
        <v>3</v>
      </c>
      <c r="E109" s="41" t="n">
        <v>352</v>
      </c>
      <c r="F109" s="42" t="n">
        <f aca="false">IF(E109="","",D109*E109)</f>
        <v>1056</v>
      </c>
    </row>
    <row r="110" customFormat="false" ht="15" hidden="false" customHeight="true" outlineLevel="0" collapsed="false">
      <c r="A110" s="40" t="s">
        <v>145</v>
      </c>
      <c r="B110" s="40" t="s">
        <v>146</v>
      </c>
      <c r="C110" s="40" t="s">
        <v>29</v>
      </c>
      <c r="D110" s="40" t="n">
        <v>1</v>
      </c>
      <c r="E110" s="41" t="n">
        <v>500</v>
      </c>
      <c r="F110" s="42" t="n">
        <f aca="false">IF(E110="","",D110*E110)</f>
        <v>500</v>
      </c>
    </row>
    <row r="111" customFormat="false" ht="15" hidden="false" customHeight="true" outlineLevel="0" collapsed="false">
      <c r="A111" s="40" t="s">
        <v>147</v>
      </c>
      <c r="B111" s="40" t="s">
        <v>148</v>
      </c>
      <c r="C111" s="40" t="s">
        <v>20</v>
      </c>
      <c r="D111" s="40" t="n">
        <v>12</v>
      </c>
      <c r="E111" s="41" t="n">
        <v>190</v>
      </c>
      <c r="F111" s="42" t="n">
        <f aca="false">IF(E111="","",D111*E111)</f>
        <v>2280</v>
      </c>
    </row>
    <row r="112" customFormat="false" ht="15" hidden="false" customHeight="true" outlineLevel="0" collapsed="false">
      <c r="A112" s="40" t="s">
        <v>147</v>
      </c>
      <c r="B112" s="40" t="s">
        <v>148</v>
      </c>
      <c r="C112" s="40" t="s">
        <v>19</v>
      </c>
      <c r="D112" s="40" t="n">
        <v>8</v>
      </c>
      <c r="E112" s="41" t="n">
        <v>190</v>
      </c>
      <c r="F112" s="42" t="n">
        <f aca="false">IF(E112="","",D112*E112)</f>
        <v>1520</v>
      </c>
    </row>
    <row r="113" customFormat="false" ht="15" hidden="false" customHeight="true" outlineLevel="0" collapsed="false">
      <c r="A113" s="40" t="s">
        <v>147</v>
      </c>
      <c r="B113" s="40" t="s">
        <v>148</v>
      </c>
      <c r="C113" s="40" t="s">
        <v>17</v>
      </c>
      <c r="D113" s="40" t="n">
        <v>6</v>
      </c>
      <c r="E113" s="41" t="n">
        <v>150</v>
      </c>
      <c r="F113" s="42" t="n">
        <f aca="false">IF(E113="","",D113*E113)</f>
        <v>900</v>
      </c>
    </row>
    <row r="114" customFormat="false" ht="15" hidden="false" customHeight="true" outlineLevel="0" collapsed="false">
      <c r="A114" s="40" t="s">
        <v>147</v>
      </c>
      <c r="B114" s="40" t="s">
        <v>148</v>
      </c>
      <c r="C114" s="40" t="s">
        <v>22</v>
      </c>
      <c r="D114" s="40" t="n">
        <v>4</v>
      </c>
      <c r="E114" s="41" t="n">
        <v>450</v>
      </c>
      <c r="F114" s="42" t="n">
        <f aca="false">IF(E114="","",D114*E114)</f>
        <v>1800</v>
      </c>
    </row>
    <row r="115" customFormat="false" ht="15" hidden="false" customHeight="true" outlineLevel="0" collapsed="false">
      <c r="A115" s="40" t="s">
        <v>147</v>
      </c>
      <c r="B115" s="40" t="s">
        <v>148</v>
      </c>
      <c r="C115" s="40" t="s">
        <v>23</v>
      </c>
      <c r="D115" s="40" t="n">
        <v>3</v>
      </c>
      <c r="E115" s="41" t="n">
        <v>400</v>
      </c>
      <c r="F115" s="42" t="n">
        <f aca="false">IF(E115="","",D115*E115)</f>
        <v>1200</v>
      </c>
    </row>
    <row r="116" customFormat="false" ht="15" hidden="false" customHeight="true" outlineLevel="0" collapsed="false">
      <c r="A116" s="40" t="s">
        <v>147</v>
      </c>
      <c r="B116" s="40" t="s">
        <v>148</v>
      </c>
      <c r="C116" s="40" t="s">
        <v>21</v>
      </c>
      <c r="D116" s="40" t="n">
        <v>2</v>
      </c>
      <c r="E116" s="41" t="n">
        <v>675</v>
      </c>
      <c r="F116" s="42" t="n">
        <f aca="false">IF(E116="","",D116*E116)</f>
        <v>1350</v>
      </c>
    </row>
    <row r="117" customFormat="false" ht="15" hidden="false" customHeight="true" outlineLevel="0" collapsed="false">
      <c r="A117" s="40" t="s">
        <v>147</v>
      </c>
      <c r="B117" s="40" t="s">
        <v>148</v>
      </c>
      <c r="C117" s="40" t="s">
        <v>26</v>
      </c>
      <c r="D117" s="40" t="n">
        <v>2</v>
      </c>
      <c r="E117" s="41" t="n">
        <v>450</v>
      </c>
      <c r="F117" s="42" t="n">
        <f aca="false">IF(E117="","",D117*E117)</f>
        <v>900</v>
      </c>
    </row>
    <row r="118" customFormat="false" ht="15" hidden="false" customHeight="true" outlineLevel="0" collapsed="false">
      <c r="A118" s="40" t="s">
        <v>147</v>
      </c>
      <c r="B118" s="40" t="s">
        <v>148</v>
      </c>
      <c r="C118" s="40" t="s">
        <v>31</v>
      </c>
      <c r="D118" s="40" t="n">
        <v>2</v>
      </c>
      <c r="E118" s="41" t="n">
        <v>320</v>
      </c>
      <c r="F118" s="42" t="n">
        <f aca="false">IF(E118="","",D118*E118)</f>
        <v>640</v>
      </c>
    </row>
    <row r="119" customFormat="false" ht="15" hidden="false" customHeight="true" outlineLevel="0" collapsed="false">
      <c r="A119" s="40" t="s">
        <v>147</v>
      </c>
      <c r="B119" s="40" t="s">
        <v>148</v>
      </c>
      <c r="C119" s="40" t="s">
        <v>14</v>
      </c>
      <c r="D119" s="40" t="n">
        <v>1</v>
      </c>
      <c r="E119" s="41" t="n">
        <v>150</v>
      </c>
      <c r="F119" s="42" t="n">
        <f aca="false">IF(E119="","",D119*E119)</f>
        <v>150</v>
      </c>
    </row>
    <row r="120" customFormat="false" ht="15" hidden="false" customHeight="true" outlineLevel="0" collapsed="false">
      <c r="A120" s="40" t="s">
        <v>149</v>
      </c>
      <c r="B120" s="40" t="s">
        <v>140</v>
      </c>
      <c r="C120" s="40" t="s">
        <v>21</v>
      </c>
      <c r="D120" s="40" t="n">
        <v>2</v>
      </c>
      <c r="E120" s="41" t="n">
        <v>675</v>
      </c>
      <c r="F120" s="42" t="n">
        <f aca="false">IF(E120="","",D120*E120)</f>
        <v>1350</v>
      </c>
    </row>
    <row r="121" customFormat="false" ht="15" hidden="false" customHeight="true" outlineLevel="0" collapsed="false">
      <c r="C121" s="27" t="s">
        <v>34</v>
      </c>
      <c r="D121" s="28" t="n">
        <f aca="false">SUM(D5:D120)</f>
        <v>2327</v>
      </c>
      <c r="F121" s="43" t="n">
        <f aca="false">SUM(F5:F120)</f>
        <v>496027</v>
      </c>
    </row>
    <row r="123" customFormat="false" ht="15" hidden="false" customHeight="true" outlineLevel="0" collapsed="false">
      <c r="A123" s="18" t="s">
        <v>150</v>
      </c>
    </row>
    <row r="124" customFormat="false" ht="15" hidden="false" customHeight="true" outlineLevel="0" collapsed="false">
      <c r="A124" s="18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2026-08-15T15:48:22Z</dcterms:created>
  <dc:creator>openpyxl</dc:creator>
  <dc:description/>
  <dc:language>en-US</dc:language>
  <cp:lastModifiedBy/>
  <dcterms:modified xsi:type="dcterms:W3CDTF">2026-08-16T08:28:34Z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